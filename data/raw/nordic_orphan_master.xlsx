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3.xml" ContentType="application/vnd.openxmlformats-officedocument.drawing+xml"/>
  <Override PartName="/xl/charts/chart6.xml" ContentType="application/vnd.openxmlformats-officedocument.drawingml.chart+xml"/>
  <Override PartName="/xl/drawings/drawing4.xml" ContentType="application/vnd.openxmlformats-officedocument.drawing+xml"/>
  <Override PartName="/xl/charts/chart7.xml" ContentType="application/vnd.openxmlformats-officedocument.drawingml.chart+xml"/>
  <Override PartName="/xl/drawings/drawing5.xml" ContentType="application/vnd.openxmlformats-officedocument.drawing+xml"/>
  <Override PartName="/xl/charts/chart8.xml" ContentType="application/vnd.openxmlformats-officedocument.drawingml.chart+xml"/>
  <Override PartName="/xl/drawings/drawing6.xml" ContentType="application/vnd.openxmlformats-officedocument.drawing+xml"/>
  <Override PartName="/xl/charts/chart9.xml" ContentType="application/vnd.openxmlformats-officedocument.drawingml.chart+xml"/>
  <Override PartName="/xl/drawings/drawing7.xml" ContentType="application/vnd.openxmlformats-officedocument.drawing+xml"/>
  <Override PartName="/xl/charts/chart10.xml" ContentType="application/vnd.openxmlformats-officedocument.drawingml.chart+xml"/>
  <Override PartName="/xl/drawings/drawing8.xml" ContentType="application/vnd.openxmlformats-officedocument.drawing+xml"/>
  <Override PartName="/xl/charts/chart11.xml" ContentType="application/vnd.openxmlformats-officedocument.drawingml.chart+xml"/>
  <Override PartName="/xl/drawings/drawing9.xml" ContentType="application/vnd.openxmlformats-officedocument.drawing+xml"/>
  <Override PartName="/xl/charts/chart12.xml" ContentType="application/vnd.openxmlformats-officedocument.drawingml.chart+xml"/>
  <Override PartName="/xl/drawings/drawing10.xml" ContentType="application/vnd.openxmlformats-officedocument.drawing+xml"/>
  <Override PartName="/xl/charts/chart1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mc:AlternateContent xmlns:mc="http://schemas.openxmlformats.org/markup-compatibility/2006">
    <mc:Choice Requires="x15">
      <x15ac:absPath xmlns:x15ac="http://schemas.microsoft.com/office/spreadsheetml/2010/11/ac" url="/Users/margaridabettencourt/Claude/Projects/Orphan Drugs Nordics/"/>
    </mc:Choice>
  </mc:AlternateContent>
  <xr:revisionPtr revIDLastSave="0" documentId="13_ncr:1_{31A01650-77EF-5946-91FF-DDAAD81FB3E5}" xr6:coauthVersionLast="47" xr6:coauthVersionMax="47" xr10:uidLastSave="{00000000-0000-0000-0000-000000000000}"/>
  <bookViews>
    <workbookView xWindow="0" yWindow="660" windowWidth="29400" windowHeight="18460" firstSheet="8" activeTab="13" xr2:uid="{00000000-000D-0000-FFFF-FFFF00000000}"/>
  </bookViews>
  <sheets>
    <sheet name="README" sheetId="1" r:id="rId1"/>
    <sheet name="Master Data" sheetId="2" r:id="rId2"/>
    <sheet name="01 Country Attractiveness" sheetId="3" r:id="rId3"/>
    <sheet name="02 Access Pathways" sheetId="4" r:id="rId4"/>
    <sheet name="03 Severity &amp; WTP (Sweden)" sheetId="5" r:id="rId5"/>
    <sheet name="04 Technology &amp; Modality" sheetId="6" r:id="rId6"/>
    <sheet name="05 Company Analysis" sheetId="7" r:id="rId7"/>
    <sheet name="06 Evidence Analysis" sheetId="8" r:id="rId8"/>
    <sheet name="07 Reasons for Decline" sheetId="9" r:id="rId9"/>
    <sheet name="08 Comparator Analysis" sheetId="10" r:id="rId10"/>
    <sheet name="09 Time to Access" sheetId="11" r:id="rId11"/>
    <sheet name="Statistical Notes" sheetId="12" r:id="rId12"/>
    <sheet name="10 Presentation Brief" sheetId="13" r:id="rId13"/>
    <sheet name="10.1 PPT Data Pack" sheetId="14" r:id="rId14"/>
  </sheets>
  <definedNames>
    <definedName name="_xlnm.Print_Area" localSheetId="13">'10.1 PPT Data Pack'!$A$1:$G$35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2" i="13" l="1"/>
  <c r="C52" i="13"/>
  <c r="E52" i="13" s="1"/>
  <c r="D51" i="13"/>
  <c r="C51" i="13"/>
  <c r="E51" i="13" s="1"/>
  <c r="G24" i="13"/>
  <c r="H24" i="13" s="1"/>
  <c r="E24" i="13"/>
  <c r="F24" i="13" s="1"/>
  <c r="D24" i="13"/>
  <c r="C24" i="13"/>
  <c r="G23" i="13"/>
  <c r="H23" i="13" s="1"/>
  <c r="E23" i="13"/>
  <c r="F23" i="13" s="1"/>
  <c r="C23" i="13"/>
  <c r="D23" i="13" s="1"/>
  <c r="H22" i="13"/>
  <c r="G22" i="13"/>
  <c r="E22" i="13"/>
  <c r="F22" i="13" s="1"/>
  <c r="C22" i="13"/>
  <c r="D22" i="13" s="1"/>
  <c r="G21" i="13"/>
  <c r="H21" i="13" s="1"/>
  <c r="F21" i="13"/>
  <c r="E21" i="13"/>
  <c r="C21" i="13"/>
  <c r="D21" i="13" s="1"/>
  <c r="G20" i="13"/>
  <c r="H20" i="13" s="1"/>
  <c r="E20" i="13"/>
  <c r="F20" i="13" s="1"/>
  <c r="D20" i="13"/>
  <c r="C20" i="13"/>
  <c r="G19" i="13"/>
  <c r="H19" i="13" s="1"/>
  <c r="E19" i="13"/>
  <c r="F19" i="13" s="1"/>
  <c r="C19" i="13"/>
  <c r="D19" i="13" s="1"/>
  <c r="H18" i="13"/>
  <c r="G18" i="13"/>
  <c r="E18" i="13"/>
  <c r="F18" i="13" s="1"/>
  <c r="C18" i="13"/>
  <c r="D18" i="13" s="1"/>
  <c r="F11" i="13"/>
  <c r="E11" i="13"/>
  <c r="D11" i="13"/>
  <c r="C11" i="13"/>
  <c r="G11" i="13" s="1"/>
  <c r="F10" i="13"/>
  <c r="E10" i="13"/>
  <c r="D10" i="13"/>
  <c r="C10" i="13"/>
  <c r="G10" i="13" s="1"/>
  <c r="F9" i="13"/>
  <c r="E9" i="13"/>
  <c r="D9" i="13"/>
  <c r="C9" i="13"/>
  <c r="G9" i="13" s="1"/>
  <c r="D33" i="11"/>
  <c r="C33" i="11"/>
  <c r="D32" i="11"/>
  <c r="C32" i="11"/>
  <c r="D31" i="11"/>
  <c r="C31" i="11"/>
  <c r="D30" i="11"/>
  <c r="C30" i="11"/>
  <c r="D29" i="11"/>
  <c r="C29" i="11"/>
  <c r="D28" i="11"/>
  <c r="C28" i="11"/>
  <c r="E23" i="11"/>
  <c r="D23" i="11"/>
  <c r="C23" i="11"/>
  <c r="E22" i="11"/>
  <c r="D22" i="11"/>
  <c r="C22" i="11"/>
  <c r="E17" i="11"/>
  <c r="D17" i="11"/>
  <c r="C17" i="11"/>
  <c r="E16" i="11"/>
  <c r="D16" i="11"/>
  <c r="C16" i="11"/>
  <c r="E15" i="11"/>
  <c r="D15" i="11"/>
  <c r="C15" i="11"/>
  <c r="E14" i="11"/>
  <c r="D14" i="11"/>
  <c r="C14" i="11"/>
  <c r="E13" i="11"/>
  <c r="D13" i="11"/>
  <c r="C13" i="11"/>
  <c r="E12" i="11"/>
  <c r="D12" i="11"/>
  <c r="C12" i="11"/>
  <c r="E11" i="11"/>
  <c r="D11" i="11"/>
  <c r="C11" i="11"/>
  <c r="E10" i="11"/>
  <c r="D10" i="11"/>
  <c r="C10" i="11"/>
  <c r="E9" i="11"/>
  <c r="D9" i="11"/>
  <c r="C9" i="11"/>
  <c r="E8" i="11"/>
  <c r="D8" i="11"/>
  <c r="C8" i="11"/>
  <c r="E7" i="11"/>
  <c r="D7" i="11"/>
  <c r="C7" i="11"/>
  <c r="H12" i="10"/>
  <c r="I12" i="10" s="1"/>
  <c r="G12" i="10"/>
  <c r="F12" i="10"/>
  <c r="E12" i="10"/>
  <c r="D12" i="10"/>
  <c r="C12" i="10"/>
  <c r="J12" i="10" s="1"/>
  <c r="H11" i="10"/>
  <c r="I11" i="10" s="1"/>
  <c r="G11" i="10"/>
  <c r="F11" i="10"/>
  <c r="E11" i="10"/>
  <c r="D11" i="10"/>
  <c r="C11" i="10"/>
  <c r="J11" i="10" s="1"/>
  <c r="H10" i="10"/>
  <c r="G10" i="10"/>
  <c r="F10" i="10"/>
  <c r="E10" i="10"/>
  <c r="D10" i="10"/>
  <c r="C10" i="10"/>
  <c r="J10" i="10" s="1"/>
  <c r="J9" i="10"/>
  <c r="H9" i="10"/>
  <c r="G9" i="10"/>
  <c r="F9" i="10"/>
  <c r="I9" i="10" s="1"/>
  <c r="E9" i="10"/>
  <c r="D9" i="10"/>
  <c r="C9" i="10"/>
  <c r="I8" i="10"/>
  <c r="M8" i="10" s="1"/>
  <c r="H8" i="10"/>
  <c r="G8" i="10"/>
  <c r="F8" i="10"/>
  <c r="E8" i="10"/>
  <c r="D8" i="10"/>
  <c r="C8" i="10"/>
  <c r="J8" i="10" s="1"/>
  <c r="H7" i="10"/>
  <c r="I7" i="10" s="1"/>
  <c r="G7" i="10"/>
  <c r="F7" i="10"/>
  <c r="E7" i="10"/>
  <c r="D7" i="10"/>
  <c r="C7" i="10"/>
  <c r="J7" i="10" s="1"/>
  <c r="E19" i="9"/>
  <c r="D19" i="9"/>
  <c r="C19" i="9"/>
  <c r="F19" i="9" s="1"/>
  <c r="E18" i="9"/>
  <c r="D18" i="9"/>
  <c r="C18" i="9"/>
  <c r="F18" i="9" s="1"/>
  <c r="E17" i="9"/>
  <c r="D17" i="9"/>
  <c r="C17" i="9"/>
  <c r="F17" i="9" s="1"/>
  <c r="E16" i="9"/>
  <c r="D16" i="9"/>
  <c r="C16" i="9"/>
  <c r="E11" i="9"/>
  <c r="D11" i="9"/>
  <c r="C11" i="9"/>
  <c r="F11" i="9" s="1"/>
  <c r="E10" i="9"/>
  <c r="D10" i="9"/>
  <c r="C10" i="9"/>
  <c r="E9" i="9"/>
  <c r="D9" i="9"/>
  <c r="C9" i="9"/>
  <c r="F9" i="9" s="1"/>
  <c r="E8" i="9"/>
  <c r="D8" i="9"/>
  <c r="C8" i="9"/>
  <c r="E7" i="9"/>
  <c r="D7" i="9"/>
  <c r="C7" i="9"/>
  <c r="F7" i="9" s="1"/>
  <c r="C30" i="8"/>
  <c r="C29" i="8"/>
  <c r="C28" i="8"/>
  <c r="E22" i="8"/>
  <c r="D22" i="8"/>
  <c r="C22" i="8"/>
  <c r="E21" i="8"/>
  <c r="D21" i="8"/>
  <c r="C21" i="8"/>
  <c r="D20" i="8"/>
  <c r="E19" i="8"/>
  <c r="D19" i="8"/>
  <c r="C19" i="8"/>
  <c r="E18" i="8"/>
  <c r="D18" i="8"/>
  <c r="C18" i="8"/>
  <c r="J12" i="8"/>
  <c r="I12" i="8"/>
  <c r="H12" i="8"/>
  <c r="G12" i="8"/>
  <c r="F12" i="8"/>
  <c r="E12" i="8"/>
  <c r="D12" i="8"/>
  <c r="C12" i="8"/>
  <c r="H11" i="8"/>
  <c r="G11" i="8"/>
  <c r="F11" i="8"/>
  <c r="E11" i="8"/>
  <c r="I11" i="8" s="1"/>
  <c r="D11" i="8"/>
  <c r="J11" i="8" s="1"/>
  <c r="C11" i="8"/>
  <c r="H10" i="8"/>
  <c r="G10" i="8"/>
  <c r="F10" i="8"/>
  <c r="E10" i="8"/>
  <c r="D10" i="8"/>
  <c r="C10" i="8"/>
  <c r="J10" i="8" s="1"/>
  <c r="H9" i="8"/>
  <c r="G9" i="8"/>
  <c r="F9" i="8"/>
  <c r="E9" i="8"/>
  <c r="D9" i="8"/>
  <c r="C9" i="8"/>
  <c r="J9" i="8" s="1"/>
  <c r="J8" i="8"/>
  <c r="H8" i="8"/>
  <c r="G8" i="8"/>
  <c r="F8" i="8"/>
  <c r="E8" i="8"/>
  <c r="I8" i="8" s="1"/>
  <c r="D8" i="8"/>
  <c r="C8" i="8"/>
  <c r="H7" i="8"/>
  <c r="I7" i="8" s="1"/>
  <c r="G7" i="8"/>
  <c r="F7" i="8"/>
  <c r="E7" i="8"/>
  <c r="D7" i="8"/>
  <c r="J7" i="8" s="1"/>
  <c r="C7" i="8"/>
  <c r="G60" i="7"/>
  <c r="F60" i="7"/>
  <c r="E60" i="7"/>
  <c r="D60" i="7"/>
  <c r="C60" i="7"/>
  <c r="G59" i="7"/>
  <c r="F59" i="7"/>
  <c r="E59" i="7"/>
  <c r="D59" i="7"/>
  <c r="C59" i="7"/>
  <c r="G58" i="7"/>
  <c r="F58" i="7"/>
  <c r="E58" i="7"/>
  <c r="D58" i="7"/>
  <c r="C58" i="7"/>
  <c r="G57" i="7"/>
  <c r="F57" i="7"/>
  <c r="E57" i="7"/>
  <c r="D57" i="7"/>
  <c r="C57" i="7"/>
  <c r="G56" i="7"/>
  <c r="F56" i="7"/>
  <c r="E56" i="7"/>
  <c r="D56" i="7"/>
  <c r="C56" i="7"/>
  <c r="G55" i="7"/>
  <c r="F55" i="7"/>
  <c r="E55" i="7"/>
  <c r="D55" i="7"/>
  <c r="C55" i="7"/>
  <c r="G54" i="7"/>
  <c r="F54" i="7"/>
  <c r="E54" i="7"/>
  <c r="D54" i="7"/>
  <c r="C54" i="7"/>
  <c r="G53" i="7"/>
  <c r="F53" i="7"/>
  <c r="E53" i="7"/>
  <c r="D53" i="7"/>
  <c r="C53" i="7"/>
  <c r="G52" i="7"/>
  <c r="F52" i="7"/>
  <c r="E52" i="7"/>
  <c r="D52" i="7"/>
  <c r="C52" i="7"/>
  <c r="G51" i="7"/>
  <c r="F51" i="7"/>
  <c r="E51" i="7"/>
  <c r="D51" i="7"/>
  <c r="C51" i="7"/>
  <c r="G50" i="7"/>
  <c r="F50" i="7"/>
  <c r="E50" i="7"/>
  <c r="D50" i="7"/>
  <c r="C50" i="7"/>
  <c r="G49" i="7"/>
  <c r="F49" i="7"/>
  <c r="E49" i="7"/>
  <c r="D49" i="7"/>
  <c r="C49" i="7"/>
  <c r="G48" i="7"/>
  <c r="F48" i="7"/>
  <c r="E48" i="7"/>
  <c r="D48" i="7"/>
  <c r="C48" i="7"/>
  <c r="G47" i="7"/>
  <c r="F47" i="7"/>
  <c r="E47" i="7"/>
  <c r="D47" i="7"/>
  <c r="C47" i="7"/>
  <c r="G46" i="7"/>
  <c r="F46" i="7"/>
  <c r="E46" i="7"/>
  <c r="D46" i="7"/>
  <c r="C46" i="7"/>
  <c r="G45" i="7"/>
  <c r="F45" i="7"/>
  <c r="E45" i="7"/>
  <c r="D45" i="7"/>
  <c r="C45" i="7"/>
  <c r="G44" i="7"/>
  <c r="F44" i="7"/>
  <c r="E44" i="7"/>
  <c r="D44" i="7"/>
  <c r="C44" i="7"/>
  <c r="G43" i="7"/>
  <c r="F43" i="7"/>
  <c r="E43" i="7"/>
  <c r="D43" i="7"/>
  <c r="C43" i="7"/>
  <c r="G42" i="7"/>
  <c r="F42" i="7"/>
  <c r="E42" i="7"/>
  <c r="D42" i="7"/>
  <c r="C42" i="7"/>
  <c r="G41" i="7"/>
  <c r="F41" i="7"/>
  <c r="E41" i="7"/>
  <c r="D41" i="7"/>
  <c r="C41" i="7"/>
  <c r="G40" i="7"/>
  <c r="F40" i="7"/>
  <c r="E40" i="7"/>
  <c r="D40" i="7"/>
  <c r="C40" i="7"/>
  <c r="C33" i="7"/>
  <c r="C32" i="7"/>
  <c r="C31" i="7"/>
  <c r="C30" i="7"/>
  <c r="C29" i="7"/>
  <c r="C28" i="7"/>
  <c r="C27" i="7"/>
  <c r="C26" i="7"/>
  <c r="C25" i="7"/>
  <c r="C24" i="7"/>
  <c r="C23" i="7"/>
  <c r="C22" i="7"/>
  <c r="C21" i="7"/>
  <c r="C20" i="7"/>
  <c r="C19" i="7"/>
  <c r="C18" i="7"/>
  <c r="C17" i="7"/>
  <c r="C16" i="7"/>
  <c r="C15" i="7"/>
  <c r="C14" i="7"/>
  <c r="C13" i="7"/>
  <c r="C12" i="7"/>
  <c r="C11" i="7"/>
  <c r="C10" i="7"/>
  <c r="C9" i="7"/>
  <c r="C8" i="7"/>
  <c r="C7" i="7"/>
  <c r="H14" i="6"/>
  <c r="G14" i="6"/>
  <c r="F14" i="6"/>
  <c r="E14" i="6"/>
  <c r="D14" i="6"/>
  <c r="C14" i="6"/>
  <c r="J14" i="6" s="1"/>
  <c r="H13" i="6"/>
  <c r="G13" i="6"/>
  <c r="F13" i="6"/>
  <c r="E13" i="6"/>
  <c r="D13" i="6"/>
  <c r="C13" i="6"/>
  <c r="J13" i="6" s="1"/>
  <c r="J12" i="6"/>
  <c r="H12" i="6"/>
  <c r="G12" i="6"/>
  <c r="F12" i="6"/>
  <c r="E12" i="6"/>
  <c r="I12" i="6" s="1"/>
  <c r="D12" i="6"/>
  <c r="C12" i="6"/>
  <c r="H11" i="6"/>
  <c r="I11" i="6" s="1"/>
  <c r="G11" i="6"/>
  <c r="F11" i="6"/>
  <c r="E11" i="6"/>
  <c r="D11" i="6"/>
  <c r="J11" i="6" s="1"/>
  <c r="C11" i="6"/>
  <c r="H10" i="6"/>
  <c r="G10" i="6"/>
  <c r="F10" i="6"/>
  <c r="E10" i="6"/>
  <c r="D10" i="6"/>
  <c r="C10" i="6"/>
  <c r="H9" i="6"/>
  <c r="G9" i="6"/>
  <c r="F9" i="6"/>
  <c r="E9" i="6"/>
  <c r="D9" i="6"/>
  <c r="C9" i="6"/>
  <c r="J9" i="6" s="1"/>
  <c r="J8" i="6"/>
  <c r="H8" i="6"/>
  <c r="G8" i="6"/>
  <c r="F8" i="6"/>
  <c r="E8" i="6"/>
  <c r="I8" i="6" s="1"/>
  <c r="D8" i="6"/>
  <c r="C8" i="6"/>
  <c r="I7" i="6"/>
  <c r="K7" i="6" s="1"/>
  <c r="H7" i="6"/>
  <c r="G7" i="6"/>
  <c r="F7" i="6"/>
  <c r="E7" i="6"/>
  <c r="D7" i="6"/>
  <c r="J7" i="6" s="1"/>
  <c r="C7" i="6"/>
  <c r="J29" i="5"/>
  <c r="G29" i="5"/>
  <c r="F29" i="5"/>
  <c r="E29" i="5"/>
  <c r="H29" i="5" s="1"/>
  <c r="I29" i="5" s="1"/>
  <c r="D29" i="5"/>
  <c r="C29" i="5"/>
  <c r="B29" i="5"/>
  <c r="J28" i="5"/>
  <c r="G28" i="5"/>
  <c r="F28" i="5"/>
  <c r="E28" i="5"/>
  <c r="H28" i="5" s="1"/>
  <c r="I28" i="5" s="1"/>
  <c r="D28" i="5"/>
  <c r="C28" i="5"/>
  <c r="B28" i="5"/>
  <c r="J27" i="5"/>
  <c r="G27" i="5"/>
  <c r="H27" i="5" s="1"/>
  <c r="F27" i="5"/>
  <c r="E27" i="5"/>
  <c r="D27" i="5"/>
  <c r="I27" i="5" s="1"/>
  <c r="C27" i="5"/>
  <c r="B27" i="5"/>
  <c r="J26" i="5"/>
  <c r="H26" i="5"/>
  <c r="G26" i="5"/>
  <c r="F26" i="5"/>
  <c r="E26" i="5"/>
  <c r="D26" i="5"/>
  <c r="C26" i="5"/>
  <c r="B26" i="5"/>
  <c r="J25" i="5"/>
  <c r="F25" i="5"/>
  <c r="E25" i="5"/>
  <c r="H25" i="5" s="1"/>
  <c r="I25" i="5" s="1"/>
  <c r="D25" i="5"/>
  <c r="C25" i="5"/>
  <c r="G25" i="5" s="1"/>
  <c r="B25" i="5"/>
  <c r="J24" i="5"/>
  <c r="F24" i="5"/>
  <c r="E24" i="5"/>
  <c r="H24" i="5" s="1"/>
  <c r="I24" i="5" s="1"/>
  <c r="D24" i="5"/>
  <c r="C24" i="5"/>
  <c r="G24" i="5" s="1"/>
  <c r="B24" i="5"/>
  <c r="J23" i="5"/>
  <c r="F23" i="5"/>
  <c r="E23" i="5"/>
  <c r="D23" i="5"/>
  <c r="C23" i="5"/>
  <c r="G23" i="5" s="1"/>
  <c r="H23" i="5" s="1"/>
  <c r="B23" i="5"/>
  <c r="J22" i="5"/>
  <c r="F22" i="5"/>
  <c r="E22" i="5"/>
  <c r="D22" i="5"/>
  <c r="C22" i="5"/>
  <c r="G22" i="5" s="1"/>
  <c r="H22" i="5" s="1"/>
  <c r="B22" i="5"/>
  <c r="H17" i="5"/>
  <c r="G17" i="5"/>
  <c r="F17" i="5"/>
  <c r="E17" i="5"/>
  <c r="D17" i="5"/>
  <c r="C17" i="5"/>
  <c r="I17" i="5" s="1"/>
  <c r="H16" i="5"/>
  <c r="G16" i="5"/>
  <c r="F16" i="5"/>
  <c r="E16" i="5"/>
  <c r="D16" i="5"/>
  <c r="C16" i="5"/>
  <c r="I16" i="5" s="1"/>
  <c r="H15" i="5"/>
  <c r="G15" i="5"/>
  <c r="F15" i="5"/>
  <c r="E15" i="5"/>
  <c r="D15" i="5"/>
  <c r="C15" i="5"/>
  <c r="I15" i="5" s="1"/>
  <c r="F65" i="4"/>
  <c r="E65" i="4"/>
  <c r="D65" i="4"/>
  <c r="C65" i="4"/>
  <c r="E64" i="4"/>
  <c r="D64" i="4"/>
  <c r="C64" i="4"/>
  <c r="F64" i="4" s="1"/>
  <c r="F63" i="4"/>
  <c r="E63" i="4"/>
  <c r="D63" i="4"/>
  <c r="C63" i="4"/>
  <c r="E41" i="4"/>
  <c r="D41" i="4"/>
  <c r="C41" i="4"/>
  <c r="F41" i="4" s="1"/>
  <c r="F40" i="4"/>
  <c r="E40" i="4"/>
  <c r="D40" i="4"/>
  <c r="C40" i="4"/>
  <c r="E39" i="4"/>
  <c r="D39" i="4"/>
  <c r="C39" i="4"/>
  <c r="F39" i="4" s="1"/>
  <c r="F38" i="4"/>
  <c r="E38" i="4"/>
  <c r="D38" i="4"/>
  <c r="C38" i="4"/>
  <c r="E37" i="4"/>
  <c r="D37" i="4"/>
  <c r="C37" i="4"/>
  <c r="F37" i="4" s="1"/>
  <c r="F36" i="4"/>
  <c r="E36" i="4"/>
  <c r="D36" i="4"/>
  <c r="C36" i="4"/>
  <c r="E35" i="4"/>
  <c r="D35" i="4"/>
  <c r="C35" i="4"/>
  <c r="F35" i="4" s="1"/>
  <c r="I14" i="4"/>
  <c r="H14" i="4"/>
  <c r="G14" i="4"/>
  <c r="E14" i="4"/>
  <c r="I11" i="4" s="1"/>
  <c r="E13" i="4"/>
  <c r="D13" i="4"/>
  <c r="C13" i="4"/>
  <c r="F13" i="4" s="1"/>
  <c r="E12" i="4"/>
  <c r="D12" i="4"/>
  <c r="C12" i="4"/>
  <c r="F12" i="4" s="1"/>
  <c r="F11" i="4"/>
  <c r="E11" i="4"/>
  <c r="D11" i="4"/>
  <c r="C11" i="4"/>
  <c r="E10" i="4"/>
  <c r="D10" i="4"/>
  <c r="F10" i="4" s="1"/>
  <c r="C10" i="4"/>
  <c r="E9" i="4"/>
  <c r="D9" i="4"/>
  <c r="D14" i="4" s="1"/>
  <c r="C9" i="4"/>
  <c r="F8" i="4"/>
  <c r="E8" i="4"/>
  <c r="D8" i="4"/>
  <c r="C8" i="4"/>
  <c r="E7" i="4"/>
  <c r="D7" i="4"/>
  <c r="C7" i="4"/>
  <c r="C14" i="4" s="1"/>
  <c r="G12" i="4" s="1"/>
  <c r="F25" i="3"/>
  <c r="E25" i="3"/>
  <c r="D25" i="3"/>
  <c r="C25" i="3"/>
  <c r="E24" i="3"/>
  <c r="D24" i="3"/>
  <c r="C24" i="3"/>
  <c r="F24" i="3" s="1"/>
  <c r="F23" i="3"/>
  <c r="E23" i="3"/>
  <c r="D23" i="3"/>
  <c r="C23" i="3"/>
  <c r="H9" i="3"/>
  <c r="G9" i="3"/>
  <c r="F9" i="3"/>
  <c r="E9" i="3"/>
  <c r="D9" i="3"/>
  <c r="C9" i="3"/>
  <c r="I9" i="3" s="1"/>
  <c r="J9" i="3" s="1"/>
  <c r="H8" i="3"/>
  <c r="I8" i="3" s="1"/>
  <c r="J8" i="3" s="1"/>
  <c r="G8" i="3"/>
  <c r="F8" i="3"/>
  <c r="E8" i="3"/>
  <c r="D8" i="3"/>
  <c r="C8" i="3"/>
  <c r="I7" i="3"/>
  <c r="J7" i="3" s="1"/>
  <c r="M7" i="3" s="1"/>
  <c r="H7" i="3"/>
  <c r="G7" i="3"/>
  <c r="F7" i="3"/>
  <c r="E7" i="3"/>
  <c r="D7" i="3"/>
  <c r="C7" i="3"/>
  <c r="AJ175" i="2"/>
  <c r="AI175" i="2"/>
  <c r="AD175" i="2"/>
  <c r="AC175" i="2"/>
  <c r="AJ174" i="2"/>
  <c r="AD174" i="2"/>
  <c r="AC174" i="2"/>
  <c r="AJ173" i="2"/>
  <c r="AI173" i="2"/>
  <c r="AD173" i="2"/>
  <c r="AC173" i="2"/>
  <c r="AJ172" i="2"/>
  <c r="AD172" i="2"/>
  <c r="AC172" i="2"/>
  <c r="AJ171" i="2"/>
  <c r="AD171" i="2"/>
  <c r="AC171" i="2"/>
  <c r="AI171" i="2" s="1"/>
  <c r="AJ170" i="2"/>
  <c r="AD170" i="2"/>
  <c r="AC170" i="2"/>
  <c r="AJ169" i="2"/>
  <c r="AD169" i="2"/>
  <c r="AC169" i="2"/>
  <c r="AI167" i="2" s="1"/>
  <c r="AJ168" i="2"/>
  <c r="AD168" i="2"/>
  <c r="AC168" i="2"/>
  <c r="AJ167" i="2"/>
  <c r="AD167" i="2"/>
  <c r="AC167" i="2"/>
  <c r="AJ166" i="2"/>
  <c r="AD166" i="2"/>
  <c r="AC166" i="2"/>
  <c r="AJ165" i="2"/>
  <c r="AD165" i="2"/>
  <c r="AC165" i="2"/>
  <c r="AJ164" i="2"/>
  <c r="AD164" i="2"/>
  <c r="AC164" i="2"/>
  <c r="AJ163" i="2"/>
  <c r="AD163" i="2"/>
  <c r="AC163" i="2"/>
  <c r="AJ162" i="2"/>
  <c r="AD162" i="2"/>
  <c r="AC162" i="2"/>
  <c r="AI161" i="2" s="1"/>
  <c r="AJ161" i="2"/>
  <c r="AD161" i="2"/>
  <c r="AC161" i="2"/>
  <c r="AJ160" i="2"/>
  <c r="AD160" i="2"/>
  <c r="AC160" i="2"/>
  <c r="AJ159" i="2"/>
  <c r="AI159" i="2"/>
  <c r="AD159" i="2"/>
  <c r="AC159" i="2"/>
  <c r="AJ158" i="2"/>
  <c r="AD158" i="2"/>
  <c r="AC158" i="2"/>
  <c r="AJ157" i="2"/>
  <c r="AD157" i="2"/>
  <c r="AC157" i="2"/>
  <c r="AJ156" i="2"/>
  <c r="AD156" i="2"/>
  <c r="AC156" i="2"/>
  <c r="AJ155" i="2"/>
  <c r="AD155" i="2"/>
  <c r="AC155" i="2"/>
  <c r="AI156" i="2" s="1"/>
  <c r="AJ154" i="2"/>
  <c r="AD154" i="2"/>
  <c r="AC154" i="2"/>
  <c r="AJ153" i="2"/>
  <c r="AD153" i="2"/>
  <c r="AC153" i="2"/>
  <c r="AI153" i="2" s="1"/>
  <c r="AJ152" i="2"/>
  <c r="AD152" i="2"/>
  <c r="AC152" i="2"/>
  <c r="AJ151" i="2"/>
  <c r="AD151" i="2"/>
  <c r="AC151" i="2"/>
  <c r="AJ150" i="2"/>
  <c r="AD150" i="2"/>
  <c r="AC150" i="2"/>
  <c r="AJ149" i="2"/>
  <c r="AD149" i="2"/>
  <c r="AC149" i="2"/>
  <c r="AI150" i="2" s="1"/>
  <c r="AJ148" i="2"/>
  <c r="AD148" i="2"/>
  <c r="AC148" i="2"/>
  <c r="AJ147" i="2"/>
  <c r="AD147" i="2"/>
  <c r="AC147" i="2"/>
  <c r="AJ146" i="2"/>
  <c r="AD146" i="2"/>
  <c r="AC146" i="2"/>
  <c r="AJ145" i="2"/>
  <c r="AD145" i="2"/>
  <c r="AC145" i="2"/>
  <c r="AI145" i="2" s="1"/>
  <c r="AJ144" i="2"/>
  <c r="AD144" i="2"/>
  <c r="AC144" i="2"/>
  <c r="AJ143" i="2"/>
  <c r="AI143" i="2"/>
  <c r="AD143" i="2"/>
  <c r="AC143" i="2"/>
  <c r="AJ142" i="2"/>
  <c r="AD142" i="2"/>
  <c r="AC142" i="2"/>
  <c r="AJ141" i="2"/>
  <c r="AI141" i="2"/>
  <c r="AD141" i="2"/>
  <c r="D19" i="10" s="1"/>
  <c r="AC141" i="2"/>
  <c r="AJ140" i="2"/>
  <c r="AD140" i="2"/>
  <c r="C19" i="10" s="1"/>
  <c r="AC140" i="2"/>
  <c r="AJ139" i="2"/>
  <c r="AD139" i="2"/>
  <c r="E19" i="10" s="1"/>
  <c r="AC139" i="2"/>
  <c r="AJ138" i="2"/>
  <c r="AD138" i="2"/>
  <c r="AC138" i="2"/>
  <c r="AJ137" i="2"/>
  <c r="AD137" i="2"/>
  <c r="AC137" i="2"/>
  <c r="AI139" i="2" s="1"/>
  <c r="AJ136" i="2"/>
  <c r="AD136" i="2"/>
  <c r="AC136" i="2"/>
  <c r="AJ135" i="2"/>
  <c r="AI135" i="2"/>
  <c r="AD135" i="2"/>
  <c r="AC135" i="2"/>
  <c r="AJ134" i="2"/>
  <c r="AD134" i="2"/>
  <c r="AC134" i="2"/>
  <c r="AJ133" i="2"/>
  <c r="AD133" i="2"/>
  <c r="AC133" i="2"/>
  <c r="AJ132" i="2"/>
  <c r="AD132" i="2"/>
  <c r="AC132" i="2"/>
  <c r="AI133" i="2" s="1"/>
  <c r="AJ131" i="2"/>
  <c r="AD131" i="2"/>
  <c r="AC131" i="2"/>
  <c r="AJ130" i="2"/>
  <c r="AD130" i="2"/>
  <c r="AC130" i="2"/>
  <c r="AJ129" i="2"/>
  <c r="AD129" i="2"/>
  <c r="AC129" i="2"/>
  <c r="AI129" i="2" s="1"/>
  <c r="AJ128" i="2"/>
  <c r="AD128" i="2"/>
  <c r="AC128" i="2"/>
  <c r="AJ127" i="2"/>
  <c r="AI127" i="2"/>
  <c r="AD127" i="2"/>
  <c r="AC127" i="2"/>
  <c r="AJ126" i="2"/>
  <c r="AD126" i="2"/>
  <c r="AC126" i="2"/>
  <c r="AJ125" i="2"/>
  <c r="AI125" i="2"/>
  <c r="AD125" i="2"/>
  <c r="AC125" i="2"/>
  <c r="AJ124" i="2"/>
  <c r="AD124" i="2"/>
  <c r="AC124" i="2"/>
  <c r="AJ123" i="2"/>
  <c r="AD123" i="2"/>
  <c r="AC123" i="2"/>
  <c r="AJ122" i="2"/>
  <c r="AD122" i="2"/>
  <c r="AC122" i="2"/>
  <c r="AI123" i="2" s="1"/>
  <c r="AJ121" i="2"/>
  <c r="AD121" i="2"/>
  <c r="AC121" i="2"/>
  <c r="AI121" i="2" s="1"/>
  <c r="AJ120" i="2"/>
  <c r="AD120" i="2"/>
  <c r="AC120" i="2"/>
  <c r="AJ119" i="2"/>
  <c r="AD119" i="2"/>
  <c r="AC119" i="2"/>
  <c r="AJ118" i="2"/>
  <c r="AD118" i="2"/>
  <c r="E23" i="6" s="1"/>
  <c r="AC118" i="2"/>
  <c r="AJ117" i="2"/>
  <c r="AD117" i="2"/>
  <c r="AC117" i="2"/>
  <c r="AJ116" i="2"/>
  <c r="AD116" i="2"/>
  <c r="AC116" i="2"/>
  <c r="AJ115" i="2"/>
  <c r="AD115" i="2"/>
  <c r="AC115" i="2"/>
  <c r="AJ114" i="2"/>
  <c r="AD114" i="2"/>
  <c r="AC114" i="2"/>
  <c r="AJ113" i="2"/>
  <c r="AD113" i="2"/>
  <c r="AC113" i="2"/>
  <c r="AI113" i="2" s="1"/>
  <c r="AJ112" i="2"/>
  <c r="AD112" i="2"/>
  <c r="AC112" i="2"/>
  <c r="AJ111" i="2"/>
  <c r="AI111" i="2"/>
  <c r="AD111" i="2"/>
  <c r="AC111" i="2"/>
  <c r="AJ110" i="2"/>
  <c r="AD110" i="2"/>
  <c r="AC110" i="2"/>
  <c r="AJ109" i="2"/>
  <c r="AD109" i="2"/>
  <c r="AC109" i="2"/>
  <c r="AJ108" i="2"/>
  <c r="AD108" i="2"/>
  <c r="AC108" i="2"/>
  <c r="AJ107" i="2"/>
  <c r="AD107" i="2"/>
  <c r="AC107" i="2"/>
  <c r="AI108" i="2" s="1"/>
  <c r="AJ106" i="2"/>
  <c r="AD106" i="2"/>
  <c r="AC106" i="2"/>
  <c r="AJ105" i="2"/>
  <c r="AD105" i="2"/>
  <c r="AC105" i="2"/>
  <c r="AJ104" i="2"/>
  <c r="AD104" i="2"/>
  <c r="AC104" i="2"/>
  <c r="AI106" i="2" s="1"/>
  <c r="AJ103" i="2"/>
  <c r="AD103" i="2"/>
  <c r="AC103" i="2"/>
  <c r="AJ102" i="2"/>
  <c r="AD102" i="2"/>
  <c r="AC102" i="2"/>
  <c r="AJ101" i="2"/>
  <c r="AD101" i="2"/>
  <c r="AC101" i="2"/>
  <c r="AI102" i="2" s="1"/>
  <c r="AJ100" i="2"/>
  <c r="AD100" i="2"/>
  <c r="AC100" i="2"/>
  <c r="AJ99" i="2"/>
  <c r="AD99" i="2"/>
  <c r="AC99" i="2"/>
  <c r="AJ98" i="2"/>
  <c r="AD98" i="2"/>
  <c r="AC98" i="2"/>
  <c r="AI100" i="2" s="1"/>
  <c r="AJ97" i="2"/>
  <c r="AD97" i="2"/>
  <c r="AC97" i="2"/>
  <c r="AJ96" i="2"/>
  <c r="AD96" i="2"/>
  <c r="AC96" i="2"/>
  <c r="AJ95" i="2"/>
  <c r="AD95" i="2"/>
  <c r="AC95" i="2"/>
  <c r="AI96" i="2" s="1"/>
  <c r="AJ94" i="2"/>
  <c r="AD94" i="2"/>
  <c r="AC94" i="2"/>
  <c r="AJ93" i="2"/>
  <c r="AD93" i="2"/>
  <c r="AC93" i="2"/>
  <c r="AJ92" i="2"/>
  <c r="AD92" i="2"/>
  <c r="AC92" i="2"/>
  <c r="AI94" i="2" s="1"/>
  <c r="AJ91" i="2"/>
  <c r="AD91" i="2"/>
  <c r="AC91" i="2"/>
  <c r="AJ90" i="2"/>
  <c r="AD90" i="2"/>
  <c r="AC90" i="2"/>
  <c r="AJ89" i="2"/>
  <c r="AD89" i="2"/>
  <c r="AC89" i="2"/>
  <c r="AI90" i="2" s="1"/>
  <c r="AJ88" i="2"/>
  <c r="AD88" i="2"/>
  <c r="AC88" i="2"/>
  <c r="AJ87" i="2"/>
  <c r="AD87" i="2"/>
  <c r="AC87" i="2"/>
  <c r="AJ86" i="2"/>
  <c r="AD86" i="2"/>
  <c r="AC86" i="2"/>
  <c r="AI88" i="2" s="1"/>
  <c r="AJ85" i="2"/>
  <c r="AD85" i="2"/>
  <c r="AC85" i="2"/>
  <c r="AJ84" i="2"/>
  <c r="AD84" i="2"/>
  <c r="AC84" i="2"/>
  <c r="AJ83" i="2"/>
  <c r="AD83" i="2"/>
  <c r="AC83" i="2"/>
  <c r="AI85" i="2" s="1"/>
  <c r="AJ82" i="2"/>
  <c r="AD82" i="2"/>
  <c r="AC82" i="2"/>
  <c r="AJ81" i="2"/>
  <c r="AD81" i="2"/>
  <c r="AC81" i="2"/>
  <c r="AJ80" i="2"/>
  <c r="AD80" i="2"/>
  <c r="AC80" i="2"/>
  <c r="AI80" i="2" s="1"/>
  <c r="AJ79" i="2"/>
  <c r="AD79" i="2"/>
  <c r="AC79" i="2"/>
  <c r="AJ78" i="2"/>
  <c r="AD78" i="2"/>
  <c r="AC78" i="2"/>
  <c r="AJ77" i="2"/>
  <c r="AD77" i="2"/>
  <c r="AC77" i="2"/>
  <c r="AI79" i="2" s="1"/>
  <c r="AJ76" i="2"/>
  <c r="AD76" i="2"/>
  <c r="AC76" i="2"/>
  <c r="AJ75" i="2"/>
  <c r="AD75" i="2"/>
  <c r="AC75" i="2"/>
  <c r="AJ74" i="2"/>
  <c r="AD74" i="2"/>
  <c r="AC74" i="2"/>
  <c r="AI76" i="2" s="1"/>
  <c r="AJ73" i="2"/>
  <c r="AD73" i="2"/>
  <c r="AC73" i="2"/>
  <c r="AJ72" i="2"/>
  <c r="AD72" i="2"/>
  <c r="AC72" i="2"/>
  <c r="AJ71" i="2"/>
  <c r="AD71" i="2"/>
  <c r="AC71" i="2"/>
  <c r="AI72" i="2" s="1"/>
  <c r="AJ70" i="2"/>
  <c r="AD70" i="2"/>
  <c r="AC70" i="2"/>
  <c r="AJ69" i="2"/>
  <c r="AD69" i="2"/>
  <c r="AC69" i="2"/>
  <c r="AJ68" i="2"/>
  <c r="AD68" i="2"/>
  <c r="AC68" i="2"/>
  <c r="AI68" i="2" s="1"/>
  <c r="AJ67" i="2"/>
  <c r="AD67" i="2"/>
  <c r="AC67" i="2"/>
  <c r="AJ66" i="2"/>
  <c r="AD66" i="2"/>
  <c r="AC66" i="2"/>
  <c r="AJ65" i="2"/>
  <c r="AD65" i="2"/>
  <c r="AC65" i="2"/>
  <c r="AI67" i="2" s="1"/>
  <c r="AJ64" i="2"/>
  <c r="AD64" i="2"/>
  <c r="AC64" i="2"/>
  <c r="AJ63" i="2"/>
  <c r="AD63" i="2"/>
  <c r="AC63" i="2"/>
  <c r="AI63" i="2" s="1"/>
  <c r="AJ62" i="2"/>
  <c r="AD62" i="2"/>
  <c r="AC62" i="2"/>
  <c r="AI64" i="2" s="1"/>
  <c r="AJ61" i="2"/>
  <c r="AD61" i="2"/>
  <c r="AC61" i="2"/>
  <c r="AJ60" i="2"/>
  <c r="AD60" i="2"/>
  <c r="AC60" i="2"/>
  <c r="AJ59" i="2"/>
  <c r="AD59" i="2"/>
  <c r="AC59" i="2"/>
  <c r="AI61" i="2" s="1"/>
  <c r="AJ58" i="2"/>
  <c r="AD58" i="2"/>
  <c r="AC58" i="2"/>
  <c r="AJ57" i="2"/>
  <c r="AD57" i="2"/>
  <c r="AC57" i="2"/>
  <c r="AI56" i="2" s="1"/>
  <c r="AJ56" i="2"/>
  <c r="AD56" i="2"/>
  <c r="AC56" i="2"/>
  <c r="AI58" i="2" s="1"/>
  <c r="AJ55" i="2"/>
  <c r="AD55" i="2"/>
  <c r="AC55" i="2"/>
  <c r="AJ54" i="2"/>
  <c r="AD54" i="2"/>
  <c r="AC54" i="2"/>
  <c r="AJ53" i="2"/>
  <c r="AD53" i="2"/>
  <c r="AC53" i="2"/>
  <c r="AI55" i="2" s="1"/>
  <c r="AJ52" i="2"/>
  <c r="AD52" i="2"/>
  <c r="AC52" i="2"/>
  <c r="AJ51" i="2"/>
  <c r="AD51" i="2"/>
  <c r="AC51" i="2"/>
  <c r="AI50" i="2" s="1"/>
  <c r="AJ50" i="2"/>
  <c r="AD50" i="2"/>
  <c r="AC50" i="2"/>
  <c r="AJ49" i="2"/>
  <c r="AD49" i="2"/>
  <c r="AC49" i="2"/>
  <c r="AJ48" i="2"/>
  <c r="AD48" i="2"/>
  <c r="AC48" i="2"/>
  <c r="AJ47" i="2"/>
  <c r="AD47" i="2"/>
  <c r="AC47" i="2"/>
  <c r="AI49" i="2" s="1"/>
  <c r="AJ46" i="2"/>
  <c r="AD46" i="2"/>
  <c r="AC46" i="2"/>
  <c r="AJ45" i="2"/>
  <c r="AD45" i="2"/>
  <c r="D23" i="6" s="1"/>
  <c r="AC45" i="2"/>
  <c r="AI46" i="2" s="1"/>
  <c r="AJ44" i="2"/>
  <c r="AD44" i="2"/>
  <c r="AC44" i="2"/>
  <c r="AJ43" i="2"/>
  <c r="AD43" i="2"/>
  <c r="AC43" i="2"/>
  <c r="AJ42" i="2"/>
  <c r="AD42" i="2"/>
  <c r="D26" i="6" s="1"/>
  <c r="AC42" i="2"/>
  <c r="AJ41" i="2"/>
  <c r="AD41" i="2"/>
  <c r="C26" i="6" s="1"/>
  <c r="AC41" i="2"/>
  <c r="AI42" i="2" s="1"/>
  <c r="AJ40" i="2"/>
  <c r="AD40" i="2"/>
  <c r="AC40" i="2"/>
  <c r="AJ39" i="2"/>
  <c r="AD39" i="2"/>
  <c r="AC39" i="2"/>
  <c r="AI38" i="2" s="1"/>
  <c r="AJ38" i="2"/>
  <c r="AD38" i="2"/>
  <c r="AC38" i="2"/>
  <c r="AJ37" i="2"/>
  <c r="AD37" i="2"/>
  <c r="AC37" i="2"/>
  <c r="AJ36" i="2"/>
  <c r="AD36" i="2"/>
  <c r="AC36" i="2"/>
  <c r="AJ35" i="2"/>
  <c r="AD35" i="2"/>
  <c r="C25" i="6" s="1"/>
  <c r="AC35" i="2"/>
  <c r="AI37" i="2" s="1"/>
  <c r="AJ34" i="2"/>
  <c r="AD34" i="2"/>
  <c r="AC34" i="2"/>
  <c r="AJ33" i="2"/>
  <c r="AD33" i="2"/>
  <c r="E16" i="3" s="1"/>
  <c r="AC33" i="2"/>
  <c r="AI34" i="2" s="1"/>
  <c r="AJ32" i="2"/>
  <c r="AD32" i="2"/>
  <c r="AC32" i="2"/>
  <c r="AJ31" i="2"/>
  <c r="AD31" i="2"/>
  <c r="AC31" i="2"/>
  <c r="AJ30" i="2"/>
  <c r="AD30" i="2"/>
  <c r="AC30" i="2"/>
  <c r="AJ29" i="2"/>
  <c r="AD29" i="2"/>
  <c r="AC29" i="2"/>
  <c r="AI30" i="2" s="1"/>
  <c r="AJ28" i="2"/>
  <c r="AD28" i="2"/>
  <c r="AC28" i="2"/>
  <c r="AJ27" i="2"/>
  <c r="AD27" i="2"/>
  <c r="AC27" i="2"/>
  <c r="AI26" i="2" s="1"/>
  <c r="AJ26" i="2"/>
  <c r="AD26" i="2"/>
  <c r="AC26" i="2"/>
  <c r="AJ25" i="2"/>
  <c r="AD25" i="2"/>
  <c r="AC25" i="2"/>
  <c r="AJ24" i="2"/>
  <c r="AD24" i="2"/>
  <c r="D22" i="6" s="1"/>
  <c r="AC24" i="2"/>
  <c r="AJ23" i="2"/>
  <c r="AD23" i="2"/>
  <c r="C22" i="6" s="1"/>
  <c r="AC23" i="2"/>
  <c r="AI25" i="2" s="1"/>
  <c r="AJ22" i="2"/>
  <c r="AD22" i="2"/>
  <c r="AC22" i="2"/>
  <c r="AJ21" i="2"/>
  <c r="AD21" i="2"/>
  <c r="AC21" i="2"/>
  <c r="AI22" i="2" s="1"/>
  <c r="AJ20" i="2"/>
  <c r="AD20" i="2"/>
  <c r="AC20" i="2"/>
  <c r="AJ19" i="2"/>
  <c r="AD19" i="2"/>
  <c r="E17" i="3" s="1"/>
  <c r="AC19" i="2"/>
  <c r="AJ18" i="2"/>
  <c r="AD18" i="2"/>
  <c r="AC18" i="2"/>
  <c r="AJ17" i="2"/>
  <c r="AD17" i="2"/>
  <c r="AC17" i="2"/>
  <c r="AI18" i="2" s="1"/>
  <c r="AJ16" i="2"/>
  <c r="AD16" i="2"/>
  <c r="AC16" i="2"/>
  <c r="AJ15" i="2"/>
  <c r="AD15" i="2"/>
  <c r="AC15" i="2"/>
  <c r="AI14" i="2" s="1"/>
  <c r="AJ14" i="2"/>
  <c r="AD14" i="2"/>
  <c r="AC14" i="2"/>
  <c r="AJ13" i="2"/>
  <c r="AD13" i="2"/>
  <c r="AC13" i="2"/>
  <c r="AJ12" i="2"/>
  <c r="AD12" i="2"/>
  <c r="AC12" i="2"/>
  <c r="AJ11" i="2"/>
  <c r="AD11" i="2"/>
  <c r="AC11" i="2"/>
  <c r="AI13" i="2" s="1"/>
  <c r="AJ10" i="2"/>
  <c r="AD10" i="2"/>
  <c r="AC10" i="2"/>
  <c r="AJ9" i="2"/>
  <c r="AD9" i="2"/>
  <c r="AC9" i="2"/>
  <c r="AI8" i="2" s="1"/>
  <c r="AJ8" i="2"/>
  <c r="AD8" i="2"/>
  <c r="C21" i="6" s="1"/>
  <c r="AC8" i="2"/>
  <c r="AJ7" i="2"/>
  <c r="AD7" i="2"/>
  <c r="AC7" i="2"/>
  <c r="AJ6" i="2"/>
  <c r="AD6" i="2"/>
  <c r="AC6" i="2"/>
  <c r="AJ5" i="2"/>
  <c r="AD5" i="2"/>
  <c r="AC5" i="2"/>
  <c r="AI7" i="2" s="1"/>
  <c r="AJ4" i="2"/>
  <c r="AD4" i="2"/>
  <c r="AC4" i="2"/>
  <c r="AJ3" i="2"/>
  <c r="AD3" i="2"/>
  <c r="D23" i="8" s="1"/>
  <c r="AC3" i="2"/>
  <c r="AI3" i="2" s="1"/>
  <c r="AJ2" i="2"/>
  <c r="AD2" i="2"/>
  <c r="AC2" i="2"/>
  <c r="K7" i="8" l="1"/>
  <c r="L7" i="8"/>
  <c r="M7" i="8"/>
  <c r="K11" i="6"/>
  <c r="L11" i="6"/>
  <c r="M11" i="6"/>
  <c r="L8" i="8"/>
  <c r="K8" i="8"/>
  <c r="M8" i="8"/>
  <c r="D25" i="7"/>
  <c r="G25" i="7"/>
  <c r="K8" i="3"/>
  <c r="L8" i="3"/>
  <c r="M8" i="3"/>
  <c r="L8" i="6"/>
  <c r="K8" i="6"/>
  <c r="M8" i="6"/>
  <c r="G11" i="7"/>
  <c r="D11" i="7"/>
  <c r="L9" i="3"/>
  <c r="M9" i="3"/>
  <c r="K9" i="3"/>
  <c r="K12" i="6"/>
  <c r="L12" i="6"/>
  <c r="M12" i="6"/>
  <c r="K11" i="8"/>
  <c r="M11" i="8"/>
  <c r="L11" i="8"/>
  <c r="H11" i="4"/>
  <c r="H7" i="4"/>
  <c r="H8" i="4"/>
  <c r="H9" i="4"/>
  <c r="H13" i="4"/>
  <c r="H10" i="4"/>
  <c r="H12" i="4"/>
  <c r="AI118" i="2"/>
  <c r="AI116" i="2"/>
  <c r="E23" i="8"/>
  <c r="I23" i="5"/>
  <c r="AI112" i="2"/>
  <c r="AI110" i="2"/>
  <c r="AI137" i="2"/>
  <c r="E25" i="7"/>
  <c r="C18" i="10"/>
  <c r="C19" i="6"/>
  <c r="C17" i="3"/>
  <c r="D30" i="8"/>
  <c r="E30" i="8" s="1"/>
  <c r="E18" i="10"/>
  <c r="C20" i="10"/>
  <c r="AI2" i="2"/>
  <c r="AI4" i="2"/>
  <c r="AI6" i="2"/>
  <c r="AI10" i="2"/>
  <c r="AI12" i="2"/>
  <c r="AI16" i="2"/>
  <c r="AI20" i="2"/>
  <c r="AI24" i="2"/>
  <c r="AI28" i="2"/>
  <c r="AI32" i="2"/>
  <c r="AI36" i="2"/>
  <c r="AI40" i="2"/>
  <c r="AI44" i="2"/>
  <c r="AI48" i="2"/>
  <c r="AI52" i="2"/>
  <c r="AI54" i="2"/>
  <c r="AI60" i="2"/>
  <c r="AI66" i="2"/>
  <c r="AI70" i="2"/>
  <c r="AI74" i="2"/>
  <c r="AI78" i="2"/>
  <c r="AI82" i="2"/>
  <c r="AI84" i="2"/>
  <c r="AI126" i="2"/>
  <c r="AI136" i="2"/>
  <c r="AI134" i="2"/>
  <c r="D16" i="7" s="1"/>
  <c r="AI174" i="2"/>
  <c r="C16" i="3"/>
  <c r="I26" i="5"/>
  <c r="J10" i="6"/>
  <c r="G14" i="7"/>
  <c r="K12" i="8"/>
  <c r="L12" i="8"/>
  <c r="F16" i="9"/>
  <c r="C24" i="6"/>
  <c r="M7" i="10"/>
  <c r="L7" i="10"/>
  <c r="K7" i="10"/>
  <c r="M12" i="10"/>
  <c r="L12" i="10"/>
  <c r="K12" i="10"/>
  <c r="J10" i="13"/>
  <c r="I10" i="13"/>
  <c r="H10" i="13"/>
  <c r="G10" i="4"/>
  <c r="G7" i="4"/>
  <c r="AI65" i="2"/>
  <c r="AI69" i="2"/>
  <c r="AI71" i="2"/>
  <c r="AI73" i="2"/>
  <c r="AI75" i="2"/>
  <c r="AI77" i="2"/>
  <c r="AI81" i="2"/>
  <c r="AI83" i="2"/>
  <c r="G7" i="7" s="1"/>
  <c r="AI87" i="2"/>
  <c r="AI89" i="2"/>
  <c r="AI91" i="2"/>
  <c r="AI93" i="2"/>
  <c r="AI95" i="2"/>
  <c r="G19" i="7" s="1"/>
  <c r="AI97" i="2"/>
  <c r="AI99" i="2"/>
  <c r="AI101" i="2"/>
  <c r="AI103" i="2"/>
  <c r="AI105" i="2"/>
  <c r="AI107" i="2"/>
  <c r="AI120" i="2"/>
  <c r="AI130" i="2"/>
  <c r="AI128" i="2"/>
  <c r="E20" i="10"/>
  <c r="C20" i="6"/>
  <c r="AI155" i="2"/>
  <c r="AI168" i="2"/>
  <c r="L7" i="3"/>
  <c r="D17" i="3"/>
  <c r="F9" i="4"/>
  <c r="E19" i="6"/>
  <c r="M12" i="8"/>
  <c r="E20" i="8"/>
  <c r="F10" i="9"/>
  <c r="I12" i="4"/>
  <c r="I8" i="4"/>
  <c r="I9" i="4"/>
  <c r="D15" i="3"/>
  <c r="E25" i="6"/>
  <c r="AI138" i="2"/>
  <c r="K7" i="3"/>
  <c r="G8" i="4"/>
  <c r="G11" i="4"/>
  <c r="E24" i="6"/>
  <c r="M11" i="10"/>
  <c r="L11" i="10"/>
  <c r="K11" i="10"/>
  <c r="AI166" i="2"/>
  <c r="AI164" i="2"/>
  <c r="D14" i="7" s="1"/>
  <c r="D18" i="10"/>
  <c r="D29" i="8"/>
  <c r="E29" i="8" s="1"/>
  <c r="D21" i="6"/>
  <c r="E26" i="6"/>
  <c r="D20" i="10"/>
  <c r="AI157" i="2"/>
  <c r="I22" i="5"/>
  <c r="D19" i="6"/>
  <c r="AI5" i="2"/>
  <c r="AI9" i="2"/>
  <c r="AI11" i="2"/>
  <c r="AI15" i="2"/>
  <c r="AI17" i="2"/>
  <c r="AI19" i="2"/>
  <c r="AI21" i="2"/>
  <c r="AI23" i="2"/>
  <c r="AI27" i="2"/>
  <c r="AI29" i="2"/>
  <c r="G12" i="7" s="1"/>
  <c r="AI31" i="2"/>
  <c r="AI33" i="2"/>
  <c r="AI35" i="2"/>
  <c r="AI39" i="2"/>
  <c r="AI41" i="2"/>
  <c r="AI43" i="2"/>
  <c r="AI45" i="2"/>
  <c r="AI47" i="2"/>
  <c r="AI51" i="2"/>
  <c r="AI53" i="2"/>
  <c r="AI59" i="2"/>
  <c r="D13" i="7" s="1"/>
  <c r="AI169" i="2"/>
  <c r="E20" i="6"/>
  <c r="AI119" i="2"/>
  <c r="AI132" i="2"/>
  <c r="AI142" i="2"/>
  <c r="AI140" i="2"/>
  <c r="AI151" i="2"/>
  <c r="I7" i="4"/>
  <c r="I10" i="4"/>
  <c r="G13" i="4"/>
  <c r="L7" i="6"/>
  <c r="I9" i="6"/>
  <c r="I10" i="6"/>
  <c r="F25" i="7"/>
  <c r="D28" i="8"/>
  <c r="E28" i="8" s="1"/>
  <c r="F8" i="9"/>
  <c r="K9" i="10"/>
  <c r="M9" i="10"/>
  <c r="L9" i="10"/>
  <c r="E22" i="6"/>
  <c r="AI148" i="2"/>
  <c r="AI146" i="2"/>
  <c r="C23" i="8"/>
  <c r="AI160" i="2"/>
  <c r="AI158" i="2"/>
  <c r="F7" i="4"/>
  <c r="F14" i="4" s="1"/>
  <c r="D24" i="6"/>
  <c r="C17" i="10"/>
  <c r="C20" i="8"/>
  <c r="E17" i="10"/>
  <c r="E21" i="6"/>
  <c r="D22" i="10"/>
  <c r="E22" i="10"/>
  <c r="E15" i="3"/>
  <c r="C22" i="10"/>
  <c r="E21" i="10"/>
  <c r="D25" i="6"/>
  <c r="D17" i="10"/>
  <c r="C23" i="6"/>
  <c r="D21" i="10"/>
  <c r="AI114" i="2"/>
  <c r="AI117" i="2"/>
  <c r="AI124" i="2"/>
  <c r="AI122" i="2"/>
  <c r="AI149" i="2"/>
  <c r="AI162" i="2"/>
  <c r="AI165" i="2"/>
  <c r="AI172" i="2"/>
  <c r="AI170" i="2"/>
  <c r="G9" i="4"/>
  <c r="M7" i="6"/>
  <c r="J9" i="13"/>
  <c r="I9" i="13"/>
  <c r="H9" i="13"/>
  <c r="J11" i="13"/>
  <c r="I11" i="13"/>
  <c r="H11" i="13"/>
  <c r="D16" i="3"/>
  <c r="C21" i="10"/>
  <c r="AI109" i="2"/>
  <c r="AI57" i="2"/>
  <c r="AI62" i="2"/>
  <c r="AI86" i="2"/>
  <c r="AI92" i="2"/>
  <c r="AI98" i="2"/>
  <c r="AI104" i="2"/>
  <c r="AI115" i="2"/>
  <c r="AI131" i="2"/>
  <c r="D20" i="6"/>
  <c r="AI144" i="2"/>
  <c r="AI147" i="2"/>
  <c r="AI154" i="2"/>
  <c r="AI152" i="2"/>
  <c r="AI163" i="2"/>
  <c r="C15" i="3"/>
  <c r="I13" i="4"/>
  <c r="I13" i="6"/>
  <c r="I14" i="6"/>
  <c r="I9" i="8"/>
  <c r="I10" i="8"/>
  <c r="I10" i="10"/>
  <c r="K8" i="10"/>
  <c r="L8" i="10"/>
  <c r="F13" i="7" l="1"/>
  <c r="E13" i="7"/>
  <c r="E14" i="7"/>
  <c r="F14" i="7"/>
  <c r="F16" i="7"/>
  <c r="E16" i="7"/>
  <c r="G18" i="7"/>
  <c r="D18" i="7"/>
  <c r="G28" i="7"/>
  <c r="D28" i="7"/>
  <c r="D19" i="7"/>
  <c r="D12" i="7"/>
  <c r="D9" i="7"/>
  <c r="G9" i="7"/>
  <c r="M10" i="8"/>
  <c r="L10" i="8"/>
  <c r="K10" i="8"/>
  <c r="D29" i="7"/>
  <c r="G29" i="7"/>
  <c r="G23" i="7"/>
  <c r="D23" i="7"/>
  <c r="G10" i="7"/>
  <c r="D10" i="7"/>
  <c r="D8" i="7"/>
  <c r="G8" i="7"/>
  <c r="D33" i="7"/>
  <c r="G33" i="7"/>
  <c r="D21" i="7"/>
  <c r="G21" i="7"/>
  <c r="G31" i="7"/>
  <c r="D31" i="7"/>
  <c r="G27" i="7"/>
  <c r="D27" i="7"/>
  <c r="G16" i="7"/>
  <c r="M13" i="6"/>
  <c r="L13" i="6"/>
  <c r="K13" i="6"/>
  <c r="D24" i="7"/>
  <c r="G24" i="7"/>
  <c r="D22" i="7"/>
  <c r="G22" i="7"/>
  <c r="D17" i="7"/>
  <c r="G17" i="7"/>
  <c r="G26" i="7"/>
  <c r="D26" i="7"/>
  <c r="G32" i="7"/>
  <c r="D32" i="7"/>
  <c r="M10" i="6"/>
  <c r="L10" i="6"/>
  <c r="K10" i="6"/>
  <c r="G20" i="7"/>
  <c r="D20" i="7"/>
  <c r="F11" i="7"/>
  <c r="E11" i="7"/>
  <c r="G13" i="7"/>
  <c r="D7" i="7"/>
  <c r="M10" i="10"/>
  <c r="L10" i="10"/>
  <c r="K10" i="10"/>
  <c r="M9" i="8"/>
  <c r="L9" i="8"/>
  <c r="K9" i="8"/>
  <c r="M14" i="6"/>
  <c r="L14" i="6"/>
  <c r="K14" i="6"/>
  <c r="L9" i="6"/>
  <c r="M9" i="6"/>
  <c r="K9" i="6"/>
  <c r="G15" i="7"/>
  <c r="D15" i="7"/>
  <c r="D30" i="7"/>
  <c r="G30" i="7"/>
  <c r="F7" i="7" l="1"/>
  <c r="E7" i="7"/>
  <c r="E22" i="7"/>
  <c r="F22" i="7"/>
  <c r="F8" i="7"/>
  <c r="E8" i="7"/>
  <c r="F18" i="7"/>
  <c r="E18" i="7"/>
  <c r="F31" i="7"/>
  <c r="E31" i="7"/>
  <c r="F30" i="7"/>
  <c r="E30" i="7"/>
  <c r="F15" i="7"/>
  <c r="E15" i="7"/>
  <c r="F23" i="7"/>
  <c r="E23" i="7"/>
  <c r="F9" i="7"/>
  <c r="E9" i="7"/>
  <c r="F12" i="7"/>
  <c r="E12" i="7"/>
  <c r="F26" i="7"/>
  <c r="E26" i="7"/>
  <c r="F20" i="7"/>
  <c r="E20" i="7"/>
  <c r="F19" i="7"/>
  <c r="E19" i="7"/>
  <c r="F10" i="7"/>
  <c r="E10" i="7"/>
  <c r="F21" i="7"/>
  <c r="E21" i="7"/>
  <c r="F17" i="7"/>
  <c r="E17" i="7"/>
  <c r="F33" i="7"/>
  <c r="E33" i="7"/>
  <c r="F29" i="7"/>
  <c r="E29" i="7"/>
  <c r="F28" i="7"/>
  <c r="E28" i="7"/>
  <c r="E32" i="7"/>
  <c r="F32" i="7"/>
  <c r="F24" i="7"/>
  <c r="E24" i="7"/>
  <c r="F27" i="7"/>
  <c r="E27" i="7"/>
</calcChain>
</file>

<file path=xl/sharedStrings.xml><?xml version="1.0" encoding="utf-8"?>
<sst xmlns="http://schemas.openxmlformats.org/spreadsheetml/2006/main" count="5403" uniqueCount="1912">
  <si>
    <t>Nordic Orphan Drug Market Access Analysis</t>
  </si>
  <si>
    <t>Sweden, Denmark, Norway | 51 drugs x 3 countries = 174 evaluation records | Finland excluded (see section 1b) | Rebuilt 2026-06-22</t>
  </si>
  <si>
    <t>1. Data sources &amp; provenance</t>
  </si>
  <si>
    <t>PRIMARY SOURCE (high confidence): "Rare Diseases Database.xlsx" - a structured HTA tracking spreadsheet covering 51 orphan/rare-disease drugs evaluated by Sweden (TLV/NT-radet), Denmark (Medicinradet/Amgros), and Norway (DMP/Nye Metoder/Beslutningsforum). All 174 records in the Master Data sheet originate here unless flagged otherwise in the Data_Source column. Three drugs (Strensiq, Myalepta, Luxturna) were added 2026-06-22 from primary TLV/DMP/Medicinradet/Beslutningsforum documents supplied by the user and independently web-verified (see section 1c).</t>
  </si>
  <si>
    <t>SUPPLEMENTARY SOURCE (lower confidence, Finland only): "Skysona_merged.pdf" - a 139-page AI-assisted research compilation. This source was used only for Finland data, which is now excluded from this analysis entirely (section 1b) - so this supplementary source no longer feeds any row in Master Data. It is retained in the source folder for provenance/audit purposes only.</t>
  </si>
  <si>
    <t>All judgment-based classifications below should be treated as best-available analytical estimates pending independent verification against primary TLV / Medicinradet / Nye Metoder publications - NOT as verified primary-source facts.</t>
  </si>
  <si>
    <t>1b. Finland exclusion - rationale</t>
  </si>
  <si>
    <t>Finland is deliberately excluded from this analysis, not merely filtered out as a zero-result row. The reason is a data-completeness/reliability asymmetry, not a finding about Finnish HTA practice: unlike Sweden (TLV), Denmark (Medicinradet/Amgros) and Norway (DMP/Beslutningsforum), no comparable set of primary-source Finnish HTA documents (Fimea assessment reports, PALKO/HILA decisions) was ever assembled for this project. The only Finland data available came from an AI-assisted research compilation (Skysona_merged.pdf), which is demonstrably a secondary/derived source (it contains a self-referential note to a prior AI tool's "follow-up suggestion") rather than a primary HTA publication.</t>
  </si>
  <si>
    <t>Carrying Finland forward on that basis would silently mix one fundamentally lower-confidence evidence tier into every cross-country comparison in this workbook (rates, trends, restriction levels, Fisher's-exact tests), without a way to flag the difference in a live pivot/COUNTIFS table. The scientifically defensible choice is to exclude Finland entirely until primary Fimea/PALKO/HILA source documents are obtained, rather than report findings that imply a confidence level the underlying Finland data does not support. This mirrors standard HTA evidence-synthesis practice of excluding, rather than downweighting in place, sources that fail a minimum evidentiary-quality bar.</t>
  </si>
  <si>
    <t>If primary Finnish HTA documents become available, Finland can be reintroduced by re-adding country block data to Rare Diseases Database.xlsx and removing it from the EXCLUDED_COUNTRIES set in the build pipeline (build_master.py) - no other structural change is required.</t>
  </si>
  <si>
    <t>1c. Web-verification of newly added drugs (2026-06-22)</t>
  </si>
  <si>
    <t>Strensiq, Myalepta and Luxturna were added from primary-source PDFs (TLV beslut, DMP metodevurdering/Beslutningsforum sakspapirer, Medicinradet anbefaling) supplied directly by the user. Each drug's key facts (decision outcome, date, case/diary number) were independently checked against public web sources on 2026-06-22; no contradictions were found. Two facts remain genuinely unconfirmed in any source checked (document or web) and are reported as such rather than guessed: (1) the outcome of Myalepta's January 2023 Beslutningsforum vote restricted to the GL (generalised lipodystrophy) subgroup in Norway; (2) any Strensiq decision in Norway after the 27 Sept 2021 "not recommended / under renegotiation" status. Both are recorded with Decision Status "Not recommended / Under renegotiation" reflecting the last confirmed state, not an assumption of a later outcome.</t>
  </si>
  <si>
    <t>2. Known data-quality issues in the source file (and how they were handled)</t>
  </si>
  <si>
    <t>- Column A ("Technology") in the source spreadsheet is sparsely populated and contains a genuine data-entry error at one row (a disease name, "Primary hyperoxaluria type 1 (PH1)", mistakenly entered in the Technology column). Rather than forward-filling this unreliable column, an independent Technology/Modality classification was built for every drug from INN/mechanism-of-action knowledge (see Technology column in Master Data).</t>
  </si>
  <si>
    <t>- One "Drug/Brand" cell contained a comment ("Important oral alternative; not directly suitable for all Fabry patients") instead of a drug name; corrected to "Galafold" based on the INN (migalastat) in the adjacent cell.</t>
  </si>
  <si>
    <t>- The Ultomiris (ravulizumab) row had a blank Disease cell; inferred as "NMOSD" from context (grouped with Soliris, Enspryng, Uplizna) and the PDF's NMOSD chapter.</t>
  </si>
  <si>
    <t>- The drug "Replagal" (agalsidase alfa) was misspelled "Raplagal" in the analytical classification tables (Technology/Therapeutic_Area/Severity_Tier/Sweden ICER lookups) in an earlier build, which silently dropped its classification to "Unclassified". Corrected 2026-06-22 across all four lookup tables.</t>
  </si>
  <si>
    <t>- Applicant names use inconsistent legal-entity naming across rows for the same parent company (e.g. "Alexion", "Alexion Pharma Nordics AB"). A Parent_Company column normalizes these for the company-analysis sheet.</t>
  </si>
  <si>
    <t>3. Analytical classifications applied (not original source labels)</t>
  </si>
  <si>
    <t>The following columns are Claude-applied analytical classifications, built to standardize messy free text for cross-tabulation. They are transparent, rule-based, and documented here - but they are judgment calls, not verbatim source data, and should be spot-checked against the adjacent _Raw columns before being treated as authoritative:</t>
  </si>
  <si>
    <t>- Technology / Therapeutic_Area / Severity_Tier: assigned per-drug from clinical/mechanistic knowledge of the INN and disease. Severity_Tier uses a 3-tier scheme (Ultra-severe/immediately life-threatening; Severe/progressive life-shortening; Serious/chronic manageable) as an analytical simplification for the WTP-threshold analysis - it is NOT an official TLV severity grading.</t>
  </si>
  <si>
    <t>- Access_Outcome / Restriction_Level / Reason_Category: derived from the 104 unique raw "Decision Status" strings via an explicit lookup table (see Decision_Status_Raw alongside Access_Outcome in Master Data to audit any individual mapping). Where a status describes a history (e.g. "Rejected, later reimbursed"), the LATEST/final state was coded.</t>
  </si>
  <si>
    <t>- Decision_Type: derived from the free-text "Evaluation" process description via keyword rules (e.g. mentions of "FINOSE"/"JNHB" -&gt; Joint Nordic HTA; "Rapid"/"Simplified" -&gt; Rapid HTA).</t>
  </si>
  <si>
    <t>- Comparator_Category: derived from the free-text Comparator field via keyword rules (Best supportive care/no active treatment; Active comparator drug(s); Chemotherapy/salvage regimen; Procedural/transplant-based; Other/mixed; Not applicable).</t>
  </si>
  <si>
    <t>- Evidence_Type: derived from keyword search across the Evaluation/Notes/Comments text for explicit trial-design language (RCT, single-arm/open-label, real-world/registry, indirect comparison, case series). IMPORTANT LIMITATION: most source records do not describe trial design explicitly in the available text, so the majority of records are coded "Not specified/unclear" - this reflects a genuine source-data gap, not a classifier failure.</t>
  </si>
  <si>
    <t>- Reason_Text (for declined/withdrawn drugs): derived from keyword search for price/cost-effectiveness, clinical evidence uncertainty, comparator/positioning, and administrative/procedural signals in the Main Uncertainty, Notes and Comments fields.</t>
  </si>
  <si>
    <t>4. Statistical methods</t>
  </si>
  <si>
    <t>- Proportions (e.g. % positive access by country/technology/comparator) are reported with Wilson score 95% confidence intervals rather than the normal approximation, because sample sizes per subgroup are small (often n&lt;20) and proportions are sometimes near 0 or 1, where the normal approximation is unreliable.</t>
  </si>
  <si>
    <t>- Group comparisons (e.g. Sweden vs Denmark positive rate) use Fisher's exact test rather than a chi-square test, because expected cell counts are frequently below 5. Excel has no native Fisher's-exact function for arbitrary 2x2 tables, so these specific p-values were computed in Python (hypergeometric enumeration) and are reported as static values, clearly labelled, in the Statistical Notes sheet - everywhere else, all summary statistics in this workbook are live Excel formulas (COUNTIFS/AVERAGEIFS/SUMPRODUCT) referencing Master Data, so they recalculate if the underlying data changes.</t>
  </si>
  <si>
    <t>- SAMPLE SIZE / POWER CAVEAT: the dataset covers 51 drugs x 3 countries = 174 records (Finland excluded, section 1b), and many subgroup cells (e.g. individual technology types, individual comparator categories) contain fewer than 10 observations. Confidence intervals are correspondingly wide and most pairwise comparisons in this dataset do NOT reach conventional statistical significance (p&lt;0.05) - differences described as "directional" or "suggestive" in the analysis sheets should not be read as confirmed effects. This is an exploratory, hypothesis-generating analysis, not a confirmatory study.</t>
  </si>
  <si>
    <t>5. Sweden WTP threshold sourcing</t>
  </si>
  <si>
    <t>Sweden severity-graded cost-per-QALY thresholds (SEK 500k for moderate/Serious severity, SEK 1,000k for high/Severe severity, SEK 2,000k for very-high/Ultra-severe severity) reflect TLV's established severity-graded willingness-to-pay practice, cross-checked against a recent real TLV decision (Fabhalta/iptacopan, May 2026: accepted at SEK 2,035,738/QALY for a very rare, very severe condition with restriction), confirmed via live web search on 2026-06-21. These are reference benchmarks for this analysis, not official published TLV cut-offs - TLV does not publish hard thresholds and decides case-by-case.</t>
  </si>
  <si>
    <t>6. Workbook structure</t>
  </si>
  <si>
    <t>Master Data = single source of truth (Excel Table "MasterTable", 174 rows x 30 columns, plus curated Sweden-ICER and helper columns through AJ). All other analysis sheets pull live formulas from this table. Sheets 01-09 correspond to the nine requested analysis themes; each contains multiple cross-tabulated views (not single-variable tables) plus a chart. "Statistical Notes" consolidates the Fisher's-exact results and overall power caveats. Edit Master Data and all downstream sheets recalculate.</t>
  </si>
  <si>
    <t>7. Parameter coverage audit</t>
  </si>
  <si>
    <t>Every column in Master Data is evaluable (non-null/non-trivial) for at least one country per drug where an HTA process occurred; "Not Evaluated" rows correctly carry blank decision-specific fields (Decision_Date, Comparator, ICER, etc.) rather than placeholder text, by design (see Access_Outcome). The Evidence_Type column is the one parameter with a structural coverage gap: most source records do not describe trial design explicitly, so most rows are coded "Not specified/unclear" - this is a genuine source-data limitation, not a classifier defect, and is flagged here rather than silently presented as a usable cross-tab dimension. The 3-tier Severity_Tier scheme is a simplification that fits most drugs cleanly but is a coarse fit for a few atypical cases (e.g. Luxturna, a one-time gene therapy for a non-immediately-fatal but vision-threatening pediatric condition, sits awkwardly between "Severe" and "Serious"); it is retained for cross-drug comparability but should not be read as a precise clinical grading.</t>
  </si>
  <si>
    <t>Drug</t>
  </si>
  <si>
    <t>INN</t>
  </si>
  <si>
    <t>Disease</t>
  </si>
  <si>
    <t>Applicant</t>
  </si>
  <si>
    <t>Parent_Company</t>
  </si>
  <si>
    <t>Technology</t>
  </si>
  <si>
    <t>Therapeutic_Area</t>
  </si>
  <si>
    <t>Severity_Tier</t>
  </si>
  <si>
    <t>Country</t>
  </si>
  <si>
    <t>Decision_Type</t>
  </si>
  <si>
    <t>Evaluation_Raw</t>
  </si>
  <si>
    <t>Decision_Status_Raw</t>
  </si>
  <si>
    <t>Access_Outcome</t>
  </si>
  <si>
    <t>Restriction_Level</t>
  </si>
  <si>
    <t>Reason_Category</t>
  </si>
  <si>
    <t>Decision_Year</t>
  </si>
  <si>
    <t>Decision_Date_Raw</t>
  </si>
  <si>
    <t>Comparator_Category</t>
  </si>
  <si>
    <t>Comparator_Raw</t>
  </si>
  <si>
    <t>Evidence_Type</t>
  </si>
  <si>
    <t>Reason_Text</t>
  </si>
  <si>
    <t>ICER_Raw</t>
  </si>
  <si>
    <t>Main_Uncertainty</t>
  </si>
  <si>
    <t>Conditions</t>
  </si>
  <si>
    <t>Notes</t>
  </si>
  <si>
    <t>Comments</t>
  </si>
  <si>
    <t>Data_Source</t>
  </si>
  <si>
    <t>Row_Ref</t>
  </si>
  <si>
    <t>Is_Positive</t>
  </si>
  <si>
    <t>Is_Assessed</t>
  </si>
  <si>
    <t>ICER_Min_SEK_per_QALY (Sweden only, curated)</t>
  </si>
  <si>
    <t>ICER_Max_SEK_per_QALY (Sweden only, curated)</t>
  </si>
  <si>
    <t>ICER_Basis_Note (Sweden only)</t>
  </si>
  <si>
    <t>Technology_Group</t>
  </si>
  <si>
    <t>Drug_Any_Positive (helper)</t>
  </si>
  <si>
    <t>Drug_First_Positive_Year (helper)</t>
  </si>
  <si>
    <t>Zolgensma</t>
  </si>
  <si>
    <t>Onasemnogene abeparvovec</t>
  </si>
  <si>
    <t>5q Spinal muscular atrophy (SMA)</t>
  </si>
  <si>
    <t>Novartis Gene Therapies</t>
  </si>
  <si>
    <t>Novartis</t>
  </si>
  <si>
    <t>Gene therapy (in vivo AAV)</t>
  </si>
  <si>
    <t>Neuromuscular</t>
  </si>
  <si>
    <t>Ultra-severe (immediately life-threatening)</t>
  </si>
  <si>
    <t>Sweden</t>
  </si>
  <si>
    <t>Full / standard HTA</t>
  </si>
  <si>
    <t>Health Economic Assessment with Scenario Analysis</t>
  </si>
  <si>
    <t>Not Recommended (Uncertainty)</t>
  </si>
  <si>
    <t>Negative</t>
  </si>
  <si>
    <t>Not Applicable</t>
  </si>
  <si>
    <t>Clinical evidence uncertainty</t>
  </si>
  <si>
    <t>2021-02-24 00:00:00</t>
  </si>
  <si>
    <t>Active comparator drug(s)</t>
  </si>
  <si>
    <t>Spinraza + BSC or  BSC</t>
  </si>
  <si>
    <t>Not specified / unclear</t>
  </si>
  <si>
    <t>SEK 850,000 - 3.2 million/QALY vs Spinraza + BSC or SEK 2.9–5.7 million/QALY vs BSC alone</t>
  </si>
  <si>
    <t>Very high uncertainty about long-term effects, how long the treatment effect lasts and uncertainty due to model based on muldtiple linked data sources</t>
  </si>
  <si>
    <t>Patients with 5q SMA with biallelic SMN1 mutation and either a clinical diagnosis of SMA type 1, or up to 3 copies of the SMN2 gene. TLV's economic scenarios mainly apply to symptomatic SMA type 1. No conclusions or results were presented for presymptomaic patients or symptomatic SMA type 2/3 due to uncertaintly in relative effectiveness.</t>
  </si>
  <si>
    <t>Health Economic Assessment completed by TLV - no base-case scenario established for some patient groups due to uncertainty</t>
  </si>
  <si>
    <t>TLV presents multiple scenario analyses wather than one base case for symptomatic SMA type 1. No results are presented for presymptomatic patients or symptomatic SMA type 2/3 because TLV considers relative effectiveness vs Spinraza too uncertain. Patient follow-up is considered important.</t>
  </si>
  <si>
    <t>Primary xlsx database</t>
  </si>
  <si>
    <t>range (vs Spinraza+BSC: 0.85-3.2M; vs BSC alone: 2.9-5.7M)</t>
  </si>
  <si>
    <t>Gene therapy</t>
  </si>
  <si>
    <t>Denmark</t>
  </si>
  <si>
    <t>Clinical Value assessment + health economic assessment - Cost Minimization Approach</t>
  </si>
  <si>
    <t>Recommended</t>
  </si>
  <si>
    <t>Positive</t>
  </si>
  <si>
    <t>Broad</t>
  </si>
  <si>
    <t>N/A</t>
  </si>
  <si>
    <t>Original recommendation: 26 May 2021; follow-up maintained: 23 Aug 2023; replaced by SMA guidance: 31 Aug 2023</t>
  </si>
  <si>
    <t>Nusinersen/Spinraza, given continuously every 4 months</t>
  </si>
  <si>
    <t>Clinical evidence uncertainty + Price / cost-effectiveness</t>
  </si>
  <si>
    <t>No ICER reported. Medicinrådet used cost-minimisation because Zolgensma and nusinersen were considered clinically equivalent. Costs per patient were expected to equalise after 8–15 years, with substantial uncertainty; using AIP, equalisation was around 9 years</t>
  </si>
  <si>
    <t>Long-term effect and long-term safety of one-time Zolgensma treatment. Uncertainty about how long nusinersen treatment would continue. Uncertainty around when costs equalize.</t>
  </si>
  <si>
    <t>Infants with SMA type 1 treated before 6 months old and not in permanent ventilation &gt;16h/day, also presymptomatic infants born with SMA. Switching from comparator may be considered only in special cases if the child weights &lt;13.5kg, is not severely muscle-weak and can breathe independently.</t>
  </si>
  <si>
    <t>Medicinrådet considered Zolgensma clinically equivalent to nusinersen overall. The applicant’s full health economic model was only used to a limited extent because assumptions about effect, disease progression and mortality were not sufficiently supported by data. Medicinrådet instead used a simplified cost-minimisation approach</t>
  </si>
  <si>
    <t>Zolgensma was not recommended in combination with nusinersen. The recommendation did not mean Zolgensma should automatically be first choice for all patients, switching from well-functioning nusinersen generally requires a specific clinical reason</t>
  </si>
  <si>
    <t>Norway</t>
  </si>
  <si>
    <t>Rapid / simplified HTA</t>
  </si>
  <si>
    <t>Simplified method assessment: effect, safety and cost assessment + managed-access negotiation</t>
  </si>
  <si>
    <t>Introduced by Beslutningsforum for treatment of SMA - currently under reassessment because updated follow-up documentation was not submitted on time</t>
  </si>
  <si>
    <t>Final introduction: 25 Oct 2021; reassessment request: 19 Jan 2026; deadline extended to 15 Jun 2026 on 27 Apr 2026</t>
  </si>
  <si>
    <t>Nusinersen/Spinraza</t>
  </si>
  <si>
    <t>Real-world / registry / natural history</t>
  </si>
  <si>
    <t>No standard ICER/cost per QALY reported. Cost comparison only; Zolgensma had a very high one-time cost, around NOK 27 million before possible discounts</t>
  </si>
  <si>
    <t>Sparse evidence base, short follow-up, major uncertainty about long-term effect, uncertainty about comparison with Spinraza and long-term costs</t>
  </si>
  <si>
    <t>Infants &lt;6 months with manifest 5q SMA type 1 and biallelic SMN1 mutation, without clear symptoms at birth/type 0 and without ventilation support &gt;16 h/day, presymptomatic infants &lt;6 months with biallelic SMN1 mutation and 2 or 3 SMN2 copies, elected 6–18 month children &lt;13.5 kg may switch from Spinraza in special cases if not severely weak and able to breathe independently, &lt;6 month patients already started on Spinraza before Zolgensma availability could convert</t>
  </si>
  <si>
    <t>Simplified HTA assessing effect, safety and costs. Zolgensma was compared with Spinraza. Final introduction was possible after negotiations and a result-based price agreement</t>
  </si>
  <si>
    <t>First result-based agreement for a medicine in Norway. Treatment centralised at Oslo University Hospital, registry follow-up required, no combination with Spinraza or other disease-modifying treatment. In 2026, caution advised for new patients pending reassessment</t>
  </si>
  <si>
    <t>Evrysdi</t>
  </si>
  <si>
    <t>Risdiplam</t>
  </si>
  <si>
    <t>Roche AB</t>
  </si>
  <si>
    <t>Roche</t>
  </si>
  <si>
    <t>Small molecule</t>
  </si>
  <si>
    <t>Managed introduction / price negotiation</t>
  </si>
  <si>
    <t>Reimbursement / Subvention Assessment with Cost-Utility Analysis, later restricted subvention after side agreement</t>
  </si>
  <si>
    <t>2021: Rejected. 2025: Reimbursed with restriction</t>
  </si>
  <si>
    <t>Restricted Positive</t>
  </si>
  <si>
    <t>Restricted</t>
  </si>
  <si>
    <t>Price/Cost-effectiveness</t>
  </si>
  <si>
    <t>21/10/2021; 01/02/2025; tablet added 26/08/2025</t>
  </si>
  <si>
    <t>BSC / no addition to BSC; tablet compared with Evrysdi oral solution</t>
  </si>
  <si>
    <t>2021: SEK 2.3–3.1M/QALY for SMA type 1; SEK 7.9M/QALY for SMA type 2/3. 2025: SEK 4.9M/QALY for SMA type 1; approx. SEK 800k/QALY for SMA type 2/3 after side agreement</t>
  </si>
  <si>
    <t>Long-term effect, survival, QoL, model uncertainty, transferability to Swedish population, personal assistance costs</t>
  </si>
  <si>
    <t>5q SMA type 1, type 2 or type 3. Tablet: patients &gt;2 years and ≥20 kg under same restriction</t>
  </si>
  <si>
    <t>Initial rejection due to costs not being reasonable vs benefit, later approval enabled by side agreement between Roche and regions</t>
  </si>
  <si>
    <t>Important reversal case: price agreement changed outcome. SMA type 1 included via need-solidarity principle, tablet decision was a formulation extension</t>
  </si>
  <si>
    <t>range across 2021 and 2025 reassessments, by SMA subtype</t>
  </si>
  <si>
    <t>Clinical Value Assessment + health economic assessment - later integrated into SMA treatment guidance and drug recommendation</t>
  </si>
  <si>
    <t>2021: Recommended for selected SMA patients. 2024: Recommendation expanded after reassessment based on new price and new data. 2026: Evrysdi placed as first-choice option in current SMA drug recommendation</t>
  </si>
  <si>
    <t>Original recommendation: 27/10/2021. Reassessment/expanded recommendation: 28/08/2024. Current guidance: 29/04/2026</t>
  </si>
  <si>
    <t>Nusinersen for SMA type 1 and selected SMA type 2/3 groups; BSC/placebo/no medical treatment for groups where nusinersen was not standard care</t>
  </si>
  <si>
    <t>No ICER reported. Medicinrådet used incremental cost and budget impact analyses. In 2021, risdiplam was less costly than nusinersen in recommended groups; list-price analyses showed high incremental costs vs BSC in older/non-recommended groups</t>
  </si>
  <si>
    <t>Sparse data for SMA type 1, short follow-up,  uncertain effect in older children/adults in original assessment,  uncertainty around long-term survival, treatment duration and accumulated medicine costs</t>
  </si>
  <si>
    <t>2021: SMA type 1 patients not in permanent ventilation &gt;16 h/day; SMA type 2/3 patients under 6 years at treatment start. Later expanded to patients meeting fixed start/stop criteria. Current guidance includes Evrysdi as first choice for SMA type 1/presymptomatic infants, SMA type 2/3 children, young people and adults, including adults &gt;25 years meeting criteria</t>
  </si>
  <si>
    <t>Risdiplam was initially recommended because it was considered as good as nusinersen for relevant younger patients and less costly. Older SMA type 2/3 patients were not included in 2021 due to insufficient evidence. Later evidence and pricing supported broader use</t>
  </si>
  <si>
    <t>Important expansion case: access broadened over time through new data, new price and integration into SMA pathway guidance. Evrysdi is oral and taken at home, unlike nusinersen. Combination therapy with other SMA medicines is not recommended</t>
  </si>
  <si>
    <t>Multiple Evaluations: Simplified HTA (ID2021_088), Full HTA (ID2020_104), indication extensions and pricing reviews (ID2023_089, ID2025_010)</t>
  </si>
  <si>
    <t>Recommended (Introduced through stepwise indication expansions)</t>
  </si>
  <si>
    <t>Initial reimbursement: 17/01/2022. Expanded: 22/01/2024. Tablet formulation: 2025</t>
  </si>
  <si>
    <t>Nusinersen (Spinraza) for children already eligible for treatment; supportive care/no disease-modifying treatment for adults and SMA type 3b populations</t>
  </si>
  <si>
    <t>Clinical evidence uncertainty + Comparator/positioning issue + Price / cost-effectiveness</t>
  </si>
  <si>
    <t>Full HTA (ID2020_104) estimated approximately NOK 12 million per QALY gained versus supportive care. No ICER reported in simplified assessments.</t>
  </si>
  <si>
    <t>Limited long-term evidence, small patient populations, uncertainty regarding long-term effectiveness and durability of treatment effect, particularly in adults</t>
  </si>
  <si>
    <t>Initially approved for children ≥2 months with SMA type 1, 2 or 3a. Later expanded to infants &lt;2 months and subsequently to broader adult populations. National start/stop criteria apply.</t>
  </si>
  <si>
    <t>Norway used different evaluation pathways depending on the patient population. Children already eligible for Spinraza underwent a simplified assessment, while adults and type 3b patients underwent a full HTA.</t>
  </si>
  <si>
    <t>Market access was achieved through gradual indication expansion. Adult access required additional assessment and price negotiations. Tablet formulation was approved through a suitability assessment and pricing review rather than a new HTA.</t>
  </si>
  <si>
    <t>Spinraza</t>
  </si>
  <si>
    <t>Nusinersen</t>
  </si>
  <si>
    <t>Biogen Sweden AB</t>
  </si>
  <si>
    <t>Biogen</t>
  </si>
  <si>
    <t>RNA-targeted (antisense oligonucleotide)</t>
  </si>
  <si>
    <t>Recomended (Reassessed 2023)</t>
  </si>
  <si>
    <t>10/11/2017; 18/10/2023</t>
  </si>
  <si>
    <t>Best supportive care / no active treatment</t>
  </si>
  <si>
    <t>BSC</t>
  </si>
  <si>
    <t>2017: SMA I SEK 5.7–7.7M/QALY; SMA II SEK 7.3–12.8M/QALY. 2023: Pediatric SMA I SEK 4.1–7.3M/QALY; Pediatric SMA II SEK 4.8–7.7M/QALY</t>
  </si>
  <si>
    <t>Long-term survival, durability of treatment effect, quality-of-life estimates, disease progression modelling and limited evidence for adult SMA populations</t>
  </si>
  <si>
    <t>Patients with 5q SMA type I, II and III. Reassessment included pediatric SMA type I/II and adult SMA type II/III populations</t>
  </si>
  <si>
    <t>Initial TLV assessment followed by major reassessment using long-term evidence and real-world data</t>
  </si>
  <si>
    <t>Spinraza became the reference therapy against which both Zolgensma and Evrysdi were later assessed in Sweden. Reassessment demonstrated improved evidence base but uncertainty remained for adult SMA populations.</t>
  </si>
  <si>
    <t>range across 2017 and 2023 reassessments, by SMA subtype</t>
  </si>
  <si>
    <t>RNA-targeted</t>
  </si>
  <si>
    <t>Repeated HTA and reimbursement reassessments (2017, 2018, 2020) followed by national treatment guideline priorisation (2023)</t>
  </si>
  <si>
    <t>Restricted Recommendation / Recommended only for defined SMA subgroups; Not recommended for general SMA population</t>
  </si>
  <si>
    <t>12/10/2017; 30/01/2018; 30/05/2018; 27/10/2020; 31/08/2023</t>
  </si>
  <si>
    <t>BSC (initial assessments) + later compared directly with risdiplamn and onasemnogene in treatment guideline reviews</t>
  </si>
  <si>
    <t>Administrative/procedural + Clinical evidence uncertainty + Comparator/positioning issue + Price / cost-effectiveness</t>
  </si>
  <si>
    <t>No ICER publicly reported in Medicinrådet recommendations; decisions based on clinical value relative to negotiated price</t>
  </si>
  <si>
    <t>Limited long-term efficacy data, particularly for SMA type 2 and type 3; uncertainty regarding treatment effect in older children, adults and patients with longer disease duration; lack of evidence for SMA type 3 and adults</t>
  </si>
  <si>
    <t>Recommended for presymptomatic infants with 2–4 SMN2 copies, SMA type 1 and selected SMA type 2 patients meeting strict clinical criteria (including early treatment initiation and limited disease duration). Not recommended for SMA type 3 or general SMA populations.</t>
  </si>
  <si>
    <t>Multiple reassessments due to new evidence and price negotiations. Medicinrådet repeatedly concluded that the price remained disproportionately high relative to documented benefit but accepted restricted use based on disease severity and demonstrated benefit in selected populations.</t>
  </si>
  <si>
    <t>Illustrates Denmark’s highly restrictive access approach for rare disease therapies. Access expanded gradually as evidence accumulated, but recommendations remained limited to subgroups with strongest evidence. In 2023 Spinraza became a second-line option behind Evrysdi in most paediatric populations.</t>
  </si>
  <si>
    <t>Rapid HTA (2017), multiple reassessments (2018, 2023) and price negotiations</t>
  </si>
  <si>
    <t>Recommended with restrictions (following initial non-recommendation)</t>
  </si>
  <si>
    <t>23/10/2017; 08/12/2017; 12/02/2018; 22/10/2018; 11/04/2023</t>
  </si>
  <si>
    <t>BSC / no disease modifying treatment</t>
  </si>
  <si>
    <t>Initial HTA estimated ICERs ranging from approximately NOK 16–40 million per QALY in the Norwegian Medicines Agency base-case scenarios, depending on SMA subtype.</t>
  </si>
  <si>
    <t>Long-term effectiveness, durability of treatment effect, limited trial data, uncertainty in health-economic model, effectiveness in older patients and later disease stages</t>
  </si>
  <si>
    <t>Restricted to defined paediatric SMA populations under strict start/stop criteria, national expert review, registry participation and regular reassessment. Expanded in 2023 to include SMA type 3b children.</t>
  </si>
  <si>
    <t>Initially rejected because price was considered unacceptable and evidence uncertain. Following substantial price negotiations, Spinraza was introduced under one of the most restrictive managed-access schemes in Norway.</t>
  </si>
  <si>
    <t>Illustrates Norway’s use of managed access, price negotiation, registry-based monitoring and start/stop criteria to manage uncertainty for an ultra-rare disease therapy.</t>
  </si>
  <si>
    <t>Libmeldy</t>
  </si>
  <si>
    <t>Atidarsagene autotemcel</t>
  </si>
  <si>
    <t>Metachromatic leukodystrophy</t>
  </si>
  <si>
    <t>Orchard Therapeutics (Kyowa Kirin)</t>
  </si>
  <si>
    <t>Kyowa Kirin</t>
  </si>
  <si>
    <t>Gene therapy (ex vivo lentiviral)</t>
  </si>
  <si>
    <t>Neurology (metabolic)</t>
  </si>
  <si>
    <t>Joint Nordic HTA (FINOSE/JNHB)</t>
  </si>
  <si>
    <t>FINOSE Joint Health Economic Assessment + NT-rådet recommendation</t>
  </si>
  <si>
    <t>FINOSE HTA February 2022; NT-rådet recommendation November 2023</t>
  </si>
  <si>
    <t>Clinical evidence uncertainty + Comparator/positioning issue</t>
  </si>
  <si>
    <t>Approx. NOK 3.15–3.23 million/QALY in FINOSE scenarios; combined scenario approx. NOK 6.36 million/QALY</t>
  </si>
  <si>
    <t>Very small patient population, no randomized comparator, uncertainty regarding long-term durability and safety</t>
  </si>
  <si>
    <t>Late infantile or early juvenile MLD; presymptomatic patients or early symptomatic patients still able to walk independently and before cognitive decline</t>
  </si>
  <si>
    <t>Joint FINOSE assessment with Norway and Finland</t>
  </si>
  <si>
    <t>Sweden became the operational treatment hub for the Nordic region</t>
  </si>
  <si>
    <t>source quotes NOK 3.15-6.36M in the Sweden record - likely a currency labelling error in source data, excluded pending verification</t>
  </si>
  <si>
    <t>Other / unclassified process</t>
  </si>
  <si>
    <t>Assessment initiated but not completed by Medicinrådet</t>
  </si>
  <si>
    <t>Outside Medicinrådet jurisdiction</t>
  </si>
  <si>
    <t>Not Evaluated</t>
  </si>
  <si>
    <t>Administrative/Procedural</t>
  </si>
  <si>
    <t>2022-06-01 00:00:00</t>
  </si>
  <si>
    <t>Not applicable / Not assessed</t>
  </si>
  <si>
    <t>Not specified</t>
  </si>
  <si>
    <t>Danish patients referred through cross-border arrangements</t>
  </si>
  <si>
    <t>Not evaluated because treatment delivered abroad</t>
  </si>
  <si>
    <t>Medicinrådet concluded that treatment falls outside its mandate because Danish patients are treated abroad</t>
  </si>
  <si>
    <t>Access ultimately achieved through Nordic collaboration rather than standard Medicinrådet recommendation</t>
  </si>
  <si>
    <t>Rapid HTA (Cost-Utility Assessment) + FINOSE Collaboration</t>
  </si>
  <si>
    <t>2023-06-19 00:00:00</t>
  </si>
  <si>
    <t>Based on FINOSE cost-effectiveness assessment; exact negotiated price confidential</t>
  </si>
  <si>
    <t>Long-term durability, small evidence base, no control group</t>
  </si>
  <si>
    <t>Same population as EMA indication; treatment centralized to Nordic centre in Sweden</t>
  </si>
  <si>
    <t>Norwegian adaptation of FINOSE assessment plus national price negotiations</t>
  </si>
  <si>
    <t>Explicitly linked to Nordic collaboration and newborn screening discussion</t>
  </si>
  <si>
    <t>Skysona</t>
  </si>
  <si>
    <t>Elivaldogene autotemcel</t>
  </si>
  <si>
    <t>Cerebral adrenoleukodystrophy</t>
  </si>
  <si>
    <t>Bluebird Bio</t>
  </si>
  <si>
    <t>bluebird bio</t>
  </si>
  <si>
    <t>Early / horizon scanning only</t>
  </si>
  <si>
    <t>Early Assessment Report (Horizon Scanning)</t>
  </si>
  <si>
    <t>Withdrawn before HTA completion</t>
  </si>
  <si>
    <t>Withdrawn</t>
  </si>
  <si>
    <t>Early Assessment 04/05/2021; European withdrawal November 2021</t>
  </si>
  <si>
    <t>Procedural / transplant-based comparator</t>
  </si>
  <si>
    <t>Allogeneic Hematopoietic Stem Cell Transplantation (HSCT)</t>
  </si>
  <si>
    <t>Administrative/procedural + Clinical evidence uncertainty</t>
  </si>
  <si>
    <t>Limited clinical evidence, immature long-term data, uncertainty regarding durability, safety, implementation and expected pricing</t>
  </si>
  <si>
    <t>Intended for boys &lt;18 years with early cerebral adrenoleukodystrophy (cALD) and ABCD1 mutation</t>
  </si>
  <si>
    <t>Early assessment only. No TLV economic assessment, reimbursement review or NT-rådet recommendation completed.</t>
  </si>
  <si>
    <t>Important failed market access case. Despite EMA approval in July 2021, Bluebird Bio withdrew Skysona from Europe in November 2021 following broader reimbursement and pricing challenges. No Nordic reimbursement process was completed and the therapy never entered routine clinical practice.</t>
  </si>
  <si>
    <t>none public - withdrawn before HTA completion</t>
  </si>
  <si>
    <t>No formal assessment / not assessed</t>
  </si>
  <si>
    <t>Not assessed in Denmark</t>
  </si>
  <si>
    <t>Not assessed in Norway</t>
  </si>
  <si>
    <t>Hemgenix</t>
  </si>
  <si>
    <t>Etranacogene dezaparvovec</t>
  </si>
  <si>
    <t>Hemophilia B</t>
  </si>
  <si>
    <t>CSL Behring</t>
  </si>
  <si>
    <t>Hematology</t>
  </si>
  <si>
    <t>Serious (chronic, manageable)</t>
  </si>
  <si>
    <t>Health Economic Assessment with Scenario Analysis + NT-rådet recommendation</t>
  </si>
  <si>
    <t>Not recommended</t>
  </si>
  <si>
    <t>TLV assessment 18/09/2023; NT-rådet final recommendation 25/04/2025</t>
  </si>
  <si>
    <t>Other / mixed comparator</t>
  </si>
  <si>
    <t>Prophylactic FIX concentrates</t>
  </si>
  <si>
    <t>TLV scenario: Hemgenix can be dominant if effect is sustained over model horizon, but uncertainty remains high; NT-rådet concluded it was not cost-effective after failed price reduction negotiation</t>
  </si>
  <si>
    <t>High scientific uncertainty and very high health-economic uncertainty; durability of one-time gene therapy effect unknown; no direct comparative study versus FIX prophylaxis; effect advantage versus current well-functioning treatment unclear</t>
  </si>
  <si>
    <t>Adults with severe or moderately severe hemophilia B without history of FIX inhibitors</t>
  </si>
  <si>
    <t>NT-rådet recommended regions not to use Hemgenix. Negotiation did not produce sufficient cost reduction, and even an outcome-based agreement was judged insufficient</t>
  </si>
  <si>
    <t>Clear negative access case. Current Swedish FIX prophylaxis is considered well-functioning, reducing disease severity and making the acceptable price for gene therapy harder to justify.</t>
  </si>
  <si>
    <t>no ICER reported; TLV scenario-dependent (dominant-to-uncertain)</t>
  </si>
  <si>
    <t>Medicinrådet recommendation + reassessment + Amgros alternative price agreement</t>
  </si>
  <si>
    <t>2023: Not recommended. 2024: Recommended</t>
  </si>
  <si>
    <t>Not recommended 22/11/2023; recommended 19/06/2024</t>
  </si>
  <si>
    <t>FIX prophylaxis, especially Refixia</t>
  </si>
  <si>
    <t>No public ICER. 2023 analysis found Hemgenix could be dominant at AIP/SAIP but this was highly uncertain and dependent on long response duration. 2024 recommendation accepted costs as reasonable after alternative price agreement</t>
  </si>
  <si>
    <t>Long-term durability, sparse long-term safety data, uncertainty about how many patients will need to restart FIX prophylaxis</t>
  </si>
  <si>
    <t>Initial rejection due to price and uncertainty; later recommendation after new agreement where payment is linked to continued effect</t>
  </si>
  <si>
    <t>Denmark is the positive contrast to Sweden: same core uncertainty, but access achieved through risk-sharing/payment-linked agreement.</t>
  </si>
  <si>
    <t>Full Method Assessment (Metodevurdering) + Price Note</t>
  </si>
  <si>
    <t>Recommended / Introduced</t>
  </si>
  <si>
    <t>2026-03-16 00:00:00</t>
  </si>
  <si>
    <t>Standard FIX prophylaxis (factor IX replacement therapy)</t>
  </si>
  <si>
    <t>Full cost-effectiveness analysis conducted; ICER not publicly available due to confidential pricing</t>
  </si>
  <si>
    <t>Long-term durability of FIX expression; uncertainty regarding duration of treatment effect; extrapolation beyond trial follow-up</t>
  </si>
  <si>
    <t>Price must be equal to or lower than negotiated price; treatment centralized at Oslo University Hospital</t>
  </si>
  <si>
    <t>DMP performed full HTA assessing severity, benefit, resource use, uncertainty and budget impact. Final approval followed price negotiations by Sykehusinnkjøp.</t>
  </si>
  <si>
    <t>Major contrast with Sweden. Norway ultimately approved gene therapy after centralized negotiations and national funding.</t>
  </si>
  <si>
    <t>Roctavian</t>
  </si>
  <si>
    <t>Valoctocogene roxaparvovec</t>
  </si>
  <si>
    <t>Hemophilia A</t>
  </si>
  <si>
    <t>BioMarin International Limited</t>
  </si>
  <si>
    <t>BioMarin</t>
  </si>
  <si>
    <t>Health Economic Assessment with Scenario Analysis + NT-rådet wait recommendation</t>
  </si>
  <si>
    <t>Not recommended / wait; not marketed in Sweden</t>
  </si>
  <si>
    <t>TLV assessment 29/08/2024; NT-rådet wait recommendation 19/12/2024</t>
  </si>
  <si>
    <t>Prophylactic FVIII concentrates; Hemlibra considered in model</t>
  </si>
  <si>
    <t>TLV base scenario: Roctavian dominant versus FVIII prophylaxis, meaning more effective and lower cost, but only under uncertain assumptions about duration of effect and long-term cost offsets</t>
  </si>
  <si>
    <t>Very high uncertainty around durability of gene therapy effect, declining FVIII activity over time, representativeness of GENEr8-1 patients for Swedish well-controlled patients, HRQoL assumptions and lack of long-term data</t>
  </si>
  <si>
    <t>Adults with severe hemophilia A without history of FVIII inhibitors and without detectable AAV5 antibodies</t>
  </si>
  <si>
    <t>TLV completed the health economic assessment, but NT-rådet could not proceed to final recommendation/contracting because BioMarin stated Roctavian would not be marketed in Sweden</t>
  </si>
  <si>
    <t>Important “non-launch after HTA” case. Unlike Skysona, Sweden completed the HTA, but market access stopped because the company did not commercialize the medicine in Sweden.</t>
  </si>
  <si>
    <t>no ICER reported; TLV scenario-dependent (dominant under uncertain assumptions)</t>
  </si>
  <si>
    <t>Rapid HTA (Hurtig metodevurdering) + Cost-Utility Assessment</t>
  </si>
  <si>
    <t>Not launched / Withdrawn</t>
  </si>
  <si>
    <t>2025-01-20 00:00:00</t>
  </si>
  <si>
    <t>Standard FVIII prophylaxis</t>
  </si>
  <si>
    <t>Evaluated but no reimbursement decision reached</t>
  </si>
  <si>
    <t>Durability of gene expression; long-term effectiveness; uncertainty around duration of benefit</t>
  </si>
  <si>
    <t>Full assessment completed by DMP but manufacturer decided not to launch in Norway and subsequently withdrew product from market.</t>
  </si>
  <si>
    <t>Similar outcome to Sweden, but due to manufacturer withdrawal rather than formal reimbursement rejection.</t>
  </si>
  <si>
    <t>Hemlibra</t>
  </si>
  <si>
    <t>emicizumab</t>
  </si>
  <si>
    <t>Monoclonal antibody (bispecific)</t>
  </si>
  <si>
    <t>Reimbursement/Subvention Assessment with Cost-Minimisation Analysis + side agreement</t>
  </si>
  <si>
    <t>Reimbursed / general subvention</t>
  </si>
  <si>
    <t>TLV used no treatment as formal comparator due to confidential FVIII net prices; FVIII prophylaxis clinically relevant</t>
  </si>
  <si>
    <t>No ICER reported; TLV used cost-minimisation and judged Hemlibra costs reasonable after side agreement</t>
  </si>
  <si>
    <t>Uncertainty from indirect comparisons, differences between study populations, lack of public net prices for FVIII concentrates, long-term treatment assumptions</t>
  </si>
  <si>
    <t>Hemophilia A with FVIII inhibitors and severe hemophilia A without inhibitors; all age groups within approved indication</t>
  </si>
  <si>
    <t>Hemlibra had restricted reimbursement since 2018 and received broader/general reimbursement in 2022 after three-party negotiations and a side agreement</t>
  </si>
  <si>
    <t>Essential market context for hemophilia A. Subcutaneous prophylaxis changed the treatment landscape and is relevant when assessing Roctavian’s incremental value.</t>
  </si>
  <si>
    <t>none public - cost-minimisation approach, not cost-utility</t>
  </si>
  <si>
    <t>Monoclonal antibody</t>
  </si>
  <si>
    <t>Included in Medicinrådet hemophilia A treatment guideline and drug recommendation</t>
  </si>
  <si>
    <t>Recommended / established standard-of-care option</t>
  </si>
  <si>
    <t>Current hemophilia A recommendation effective 01/05/2026</t>
  </si>
  <si>
    <t>FVIII prophylaxis and newer alternatives such as Altuvoct and marstacimab</t>
  </si>
  <si>
    <t>Comparator/positioning issue + Price / cost-effectiveness</t>
  </si>
  <si>
    <t>No ICER in current recommendation; ranked through treatment guideline and cost-based recommendation logic</t>
  </si>
  <si>
    <t>Treatment positioning, cost ranking, patient selection versus FVIII products</t>
  </si>
  <si>
    <t>Hemophilia A, especially patients where FVIII prophylaxis is unsuitable, insufficient or difficult to administer</t>
  </si>
  <si>
    <t>Used as key comparator/context in later Danish hemophilia A evaluations</t>
  </si>
  <si>
    <t>Essential context row. Hemlibra explains why hemophilia A gene therapies must prove value against a strong, convenient subcutaneous standard.</t>
  </si>
  <si>
    <t>Rapid HTA (Hurtig metodevurdering)</t>
  </si>
  <si>
    <t>2018-12-17 00:00:00</t>
  </si>
  <si>
    <t>Bypassing agents and existing prophylaxis for inhibitor patients</t>
  </si>
  <si>
    <t>Cost-effectiveness assessment conducted; exact ICER confidential</t>
  </si>
  <si>
    <t>Limited long-term evidence and indirect comparisons</t>
  </si>
  <si>
    <t>Price equal to or below negotiated level</t>
  </si>
  <si>
    <t>Approved for Hemophilia A patients with inhibitors after HTA review.</t>
  </si>
  <si>
    <t>Became standard prophylaxis option for inhibitor population.</t>
  </si>
  <si>
    <t>Beqvez</t>
  </si>
  <si>
    <t>Fidanacogene elaparvovec</t>
  </si>
  <si>
    <t>Pfizer</t>
  </si>
  <si>
    <t>Not assessed in sweden - withdrawn drom European Commercialization</t>
  </si>
  <si>
    <t>Administrative/procedural</t>
  </si>
  <si>
    <t>not assessed in Sweden</t>
  </si>
  <si>
    <t>Medicinrådet assessment initiated but discontinued</t>
  </si>
  <si>
    <t>Request received 12/11/2023; withdrawn 28/05/2024</t>
  </si>
  <si>
    <t>Expected comparator: FIX prophylaxis</t>
  </si>
  <si>
    <t>Administrative/procedural + Clinical evidence uncertainty + Price / cost-effectiveness</t>
  </si>
  <si>
    <t>Not assessed; expected uncertainty around durability, safety, comparative benefit and price</t>
  </si>
  <si>
    <t>Hemophilia B gene therapy population</t>
  </si>
  <si>
    <t>Application withdrawn before recommendation</t>
  </si>
  <si>
    <t>Important watchlist/failure-to-complete case. Denmark has access to Hemgenix, while Beqvez did not complete the Danish process.</t>
  </si>
  <si>
    <t>Withrawn from EMA</t>
  </si>
  <si>
    <t>Hympavzi</t>
  </si>
  <si>
    <t>marstacimab</t>
  </si>
  <si>
    <t>Hemophilia A and B</t>
  </si>
  <si>
    <t>Early assessment / monitoring (no completed TLV reimbursement decision identified)</t>
  </si>
  <si>
    <t>No Swedish reimbursement decision identified / under market access monitoring</t>
  </si>
  <si>
    <t>Ongoing/Pending</t>
  </si>
  <si>
    <t>Hemlibra, Alhemo, FVIII/FIX prophylaxis (expected comparators)</t>
  </si>
  <si>
    <t>Comparator/positioning issue</t>
  </si>
  <si>
    <t>Pricing and positioning versus established non-factor prophylaxis therapies; limited Swedish HTA information currently available</t>
  </si>
  <si>
    <t>No completed Swedish HTA or reimbursement assessment identified at present. Appears mainly in pipeline and early assessment discussions.</t>
  </si>
  <si>
    <t>Important emerging competitor. In Denmark it was directly incorporated into national treatment guidelines, highlighting different Nordic access approaches.</t>
  </si>
  <si>
    <t>ongoing/pending</t>
  </si>
  <si>
    <t>Direct placement into Medicinrådet hemophilia A and B treatment guidelines</t>
  </si>
  <si>
    <t>Recommended / placed in guideline</t>
  </si>
  <si>
    <t>Direct placement approved 03/09/2025; recommendation effective 01/05/2026</t>
  </si>
  <si>
    <t>Hemlibra for hemophilia A; relevant hemophilia B prophylaxis alternatives</t>
  </si>
  <si>
    <t>No ICER; direct placement based on evidence review and Amgros negotiation</t>
  </si>
  <si>
    <t>Comparative evidence and positioning versus existing prophylaxis options</t>
  </si>
  <si>
    <t>Patients ≥12 years and ≥35 kg with severe hemophilia A or B without inhibitors</t>
  </si>
  <si>
    <t>Added to both hemophilia A and B pathways</t>
  </si>
  <si>
    <t>Not gene therapy, but important because it shows Denmark is actively expanding non-factor prophylaxis options.</t>
  </si>
  <si>
    <t>Single-drug Method Assessment (without full economic model)</t>
  </si>
  <si>
    <t>Under assessment / No final introduction decision identified</t>
  </si>
  <si>
    <t>03/02/2026 (assessment publication)</t>
  </si>
  <si>
    <t>Personalized FVIII/FIX prophylaxis; existing standard prophylaxis</t>
  </si>
  <si>
    <t>No ICER reported</t>
  </si>
  <si>
    <t>Clinical benefit versus optimized prophylaxis; higher annualized joint bleeding rates than existing individualized treatment strategies</t>
  </si>
  <si>
    <t>None yet</t>
  </si>
  <si>
    <t>DMP completed clinical assessment for severe Hemophilia A and B without inhibitors.</t>
  </si>
  <si>
    <t>Norway appears more cautious than Sweden regarding newer non-factor prophylaxis agents when effective standard factor treatment already exists.</t>
  </si>
  <si>
    <t>Alhemo</t>
  </si>
  <si>
    <t>concizumab</t>
  </si>
  <si>
    <t>Novo Nordisk AB</t>
  </si>
  <si>
    <t>Novo Nordisk</t>
  </si>
  <si>
    <t>Reimbursement/Subvention Assessment + Cost Comparison</t>
  </si>
  <si>
    <t>Reimbursed with restriction</t>
  </si>
  <si>
    <t>21/11/2025 (effective 25/11/2025)</t>
  </si>
  <si>
    <t>NovoSeven (eptacog alfa activated)</t>
  </si>
  <si>
    <t>Price / cost-effectiveness</t>
  </si>
  <si>
    <t>No ICER reported; cost-comparison approach. Lower treatment cost than NovoSeven</t>
  </si>
  <si>
    <t>No direct comparative trials; reliance on indirect comparison; differences between study populations and study designs</t>
  </si>
  <si>
    <t>Only reimbursed for Hemophilia B patients with inhibitors where immune tolerance induction (ITI) failed</t>
  </si>
  <si>
    <t>TLV concluded Alhemo provides at least comparable efficacy with lower drug costs than NovoSeven, resulting in reimbursement for a narrow inhibitor population.</t>
  </si>
  <si>
    <t>Good example of successful market access by targeting a small, high-cost niche population where economic value is easier to demonstrate.</t>
  </si>
  <si>
    <t>none public - cost-comparison approach, not cost-utility</t>
  </si>
  <si>
    <t>Direct placement into Medicinrådet hemophilia B treatment guideline</t>
  </si>
  <si>
    <t>2026-01-21 00:00:00</t>
  </si>
  <si>
    <t>Marstacimab and other hemophilia B prophylaxis options</t>
  </si>
  <si>
    <t>No ICER; direct guideline placement</t>
  </si>
  <si>
    <t>Comparative evidence, patient positioning, safety and practical use</t>
  </si>
  <si>
    <t>Patients ≥12 years with hemophilia B without inhibitors</t>
  </si>
  <si>
    <t>Concizumab was placed into the hemophilia B treatment pathway</t>
  </si>
  <si>
    <t>Important non-factor competitor in hemophilia B. Helps explain why future gene therapies face more complex comparator landscapes.</t>
  </si>
  <si>
    <t>Requested assessment (method assessment without health-economic analysis planned)</t>
  </si>
  <si>
    <t>Cancelled / Withdrawn</t>
  </si>
  <si>
    <t>2025-03-17 00:00:00</t>
  </si>
  <si>
    <t>NovoSeven (expected comparator)</t>
  </si>
  <si>
    <t>Not assessed</t>
  </si>
  <si>
    <t>No assessment completed because manufacturer did not submit documentation within required timeframe</t>
  </si>
  <si>
    <t>Bestillerforum cancelled the assessment after documentation was not submitted within 12 months.</t>
  </si>
  <si>
    <t>Unlike Sweden, no reimbursement assessment was completed. Good example of pipeline attrition before decision stage.</t>
  </si>
  <si>
    <t>Altuvoct</t>
  </si>
  <si>
    <t xml:space="preserve">efanesoctocog alfa </t>
  </si>
  <si>
    <t>Swedish Orphan Biovitrum AB (SOBI)</t>
  </si>
  <si>
    <t>Sobi (Swedish Orphan Biovitrum)</t>
  </si>
  <si>
    <t>Recombinant protein (extended half-life factor)</t>
  </si>
  <si>
    <t>Reimbursement/Subvention Assessment + Cost Comparison + side agreement</t>
  </si>
  <si>
    <t>25/09/2025 (effective 01/10/2025)</t>
  </si>
  <si>
    <t>Jivi (≥7 years), Elocta (&lt;7 years), Hemlibra considered clinically relevant</t>
  </si>
  <si>
    <t>No ICER reported; cost-comparison approach. Cost judged acceptable only in pediatric subgroup after confidential side agreement</t>
  </si>
  <si>
    <t>Uncertainty regarding dose assumptions required to achieve comparable efficacy; comparison based largely on pharmacokinetic modelling and indirect evidence; uncertainty around true comparative benefit versus intensified FVIII prophylaxis</t>
  </si>
  <si>
    <t>Severe Hemophilia A children only; repeated breakthrough bleeds despite prophylactic treatment with another FVIII concentrate</t>
  </si>
  <si>
    <t>TLV concluded Altuvoct provides comparable bleeding protection to intensified FVIII prophylaxis but is more expensive for the overall population. Side agreement reduced net cost sufficiently for pediatric reimbursement only.</t>
  </si>
  <si>
    <t>Illustrates Sweden’s willingness to reimburse incremental innovation when accompanied by price concessions and narrow patient restrictions. NT-rådet later coordinated a regional agreement (2026–2028).</t>
  </si>
  <si>
    <t>Recombinant protein</t>
  </si>
  <si>
    <t>Medicinrådet recommendation with cost-minimisation analysis</t>
  </si>
  <si>
    <t>Recommended for a limited subgroup</t>
  </si>
  <si>
    <t>2024-10-23 00:00:00</t>
  </si>
  <si>
    <t>Emicizumab/Hemlibra; FVIII EHL products as pathway context</t>
  </si>
  <si>
    <t>No ICER; cost-minimisation versus emicizumab</t>
  </si>
  <si>
    <t>Comparative evidence versus emicizumab, patient weight assumptions, price relative to existing FVIII products</t>
  </si>
  <si>
    <t>Smaller group of severe hemophilia A patients not sufficiently protected by current FVIII prophylaxis</t>
  </si>
  <si>
    <t>Recommended only for patients not well treated with other FVIII products</t>
  </si>
  <si>
    <t>Important pathway context. Denmark limits use because it is cheaper than emicizumab but more expensive than most FVIII products.</t>
  </si>
  <si>
    <t>Subgroup reassessment request after prior decision</t>
  </si>
  <si>
    <t>Not recommended / Under renegotiation</t>
  </si>
  <si>
    <t>02/02/2026 (new submission)</t>
  </si>
  <si>
    <t>Existing long-acting FVIII prophylaxis</t>
  </si>
  <si>
    <t>Not publicly available</t>
  </si>
  <si>
    <t>Clinical value relative to existing FVIII products at proposed price</t>
  </si>
  <si>
    <t>Restricted subgroup proposed in renegotiation</t>
  </si>
  <si>
    <t>Company submitted a restricted-population request following earlier Beslutningsforum decision and ongoing negotiations with Sykehusinnkjøp.</t>
  </si>
  <si>
    <t>Strong example of Norway’s stricter stance toward expensive maintenance therapies compared with Sweden.</t>
  </si>
  <si>
    <t>Vyjuvek</t>
  </si>
  <si>
    <t>Beremagene geperpavec</t>
  </si>
  <si>
    <t>Dystrophic epidermolysis bullosa (DEB)</t>
  </si>
  <si>
    <t>Krystal Biotech</t>
  </si>
  <si>
    <t>Gene therapy (topical HSV vector)</t>
  </si>
  <si>
    <t>Dermatology</t>
  </si>
  <si>
    <t>Severe (progressive, life-shortening)</t>
  </si>
  <si>
    <t>Planned TLV health economic assessment + NT-rådet wait recommendation</t>
  </si>
  <si>
    <t>Pending / wait recommendation</t>
  </si>
  <si>
    <t>NT-rådet wait recommendation: 28/08/2025</t>
  </si>
  <si>
    <t>Expected: best supportive wound care / standard wound care</t>
  </si>
  <si>
    <t>Not available yet</t>
  </si>
  <si>
    <t>Full value assessment not yet completed; uncertainty around clinical value, cost-effectiveness and equal national introduction</t>
  </si>
  <si>
    <t>Treatment of wounds in patients with dystrophic EB with COL7A1 mutation(s), from birth</t>
  </si>
  <si>
    <t>NT-rådet recommends regions wait until TLV completes the health economic assessment and NT-rådet can make a full recommendation.</t>
  </si>
  <si>
    <t>Important upcoming gene therapy case for DEB. Sweden is preventing unequal early uptake while assessment is ongoing.</t>
  </si>
  <si>
    <t>not available yet</t>
  </si>
  <si>
    <t>No assessment in Denmark</t>
  </si>
  <si>
    <t>Nye Metoder assessment initiated</t>
  </si>
  <si>
    <t>Pending</t>
  </si>
  <si>
    <t>Assessment request / process initiated in 2025</t>
  </si>
  <si>
    <t>Expected: standard wound care / best supportive care</t>
  </si>
  <si>
    <t>Long-term effect, durability of wound closure, cost-effectiveness and treatment use in practice</t>
  </si>
  <si>
    <t>DEB wounds with COL7A1 mutation(s)</t>
  </si>
  <si>
    <t>Vyjuvek is in the Norwegian pipeline under Nye Metoder; final decision not yet available</t>
  </si>
  <si>
    <t>Keep as ongoing/pending.</t>
  </si>
  <si>
    <t>Filsuvez</t>
  </si>
  <si>
    <t>birch triterpenes / bjørkeneverekstrakt</t>
  </si>
  <si>
    <t>Chiesi Pharma AB</t>
  </si>
  <si>
    <t>Chiesi Group</t>
  </si>
  <si>
    <t>Other biologic/plant-derived</t>
  </si>
  <si>
    <t>TLV reimbursement/subvention assessment with cost-utility analysis</t>
  </si>
  <si>
    <t>Not recommended / rejected</t>
  </si>
  <si>
    <t>2025-04-24 00:00:00</t>
  </si>
  <si>
    <t>No addition to best supportive care</t>
  </si>
  <si>
    <t>TLV scenario: approx. SEK 2.1M/QALY; sensitivity analyses approx. SEK 1.2–2.8M/QALY</t>
  </si>
  <si>
    <t>Very high uncertainty around long-term effect, quality-of-life benefit, model structure, wound heterogeneity and sustained effect after 90 days</t>
  </si>
  <si>
    <t>Patients ≥6 months with partial-thickness wounds associated with DEB or JEB</t>
  </si>
  <si>
    <t>TLV found better wound-healing effect but judged costs not reasonable in relation to benefit. Application rejected.</t>
  </si>
  <si>
    <t>Strong negative access case: clinical benefit acknowledged, but not enough to justify price.</t>
  </si>
  <si>
    <t>range (TLV scenario ~2.1M, sensitivity 1.2-2.8M)</t>
  </si>
  <si>
    <t>Other biologic</t>
  </si>
  <si>
    <t>Medicinrådet clinical and health economic assessment</t>
  </si>
  <si>
    <t>2025-06-18 00:00:00</t>
  </si>
  <si>
    <t>Standard of care / existing wound care</t>
  </si>
  <si>
    <t>AIP ICER approx. DKK 6.27M/QALY; QALY gain approx. 0.7</t>
  </si>
  <si>
    <t>Uncertain quality-of-life effect, uncertain long-term clinical benefit, uncertain patient-level medicine use and wound burden</t>
  </si>
  <si>
    <t>Patients &gt;6 months with partial-thickness wounds associated with DEB or JEB</t>
  </si>
  <si>
    <t>Medicinrådet found faster wound healing, around 38 vs 45 days, but considered added costs unreasonable versus health gain.</t>
  </si>
  <si>
    <t>Similar to Sweden: small clinical benefit, high cost, high uncertainty.</t>
  </si>
  <si>
    <t>Nye Metoder method assessment with health economic analysis + price note process</t>
  </si>
  <si>
    <t>Pending final decision</t>
  </si>
  <si>
    <t>Bestillerforum decision: 26/05/2025; HTA published 04/12/2025</t>
  </si>
  <si>
    <t>Current standard EB treatment / standard wound care</t>
  </si>
  <si>
    <t>Not final/public decision yet</t>
  </si>
  <si>
    <t>Long-term effect, resource use, quality-of-life benefit and cost-effectiveness</t>
  </si>
  <si>
    <t>DMP delivered the method assessment; Sykehusinnkjøp is responsible for price negotiations and price note before Beslutningsforum decision.</t>
  </si>
  <si>
    <t>Norway is further along than Finland but not yet at final reimbursement decision.</t>
  </si>
  <si>
    <t>Elfabrio</t>
  </si>
  <si>
    <t>Pegunigalsidase alfa</t>
  </si>
  <si>
    <t>Fabry disease</t>
  </si>
  <si>
    <t>Enzyme replacement therapy</t>
  </si>
  <si>
    <t>Metabolic/Lysosomal storage</t>
  </si>
  <si>
    <t>TLV reimbursement assessment, followed by TLV class reassessment of all Fabry medicines</t>
  </si>
  <si>
    <t>2023: Reimbursed. 2025: Excluded from high-cost protection from 01/02/2026 after reassessment</t>
  </si>
  <si>
    <t>Elfabrio included from 18/11/2023; Fabry class reassessment decision 30/01/2025; exclusion effective 01/02/2026</t>
  </si>
  <si>
    <t>Initial Elfabrio assessment: Fabrazyme/agalsidase beta. Class reassessment: no treatment as hypothetical comparator</t>
  </si>
  <si>
    <t>ICER not clearly available in current notes. TLV concluded costs were substantially higher than what is usually considered reasonable regardless of disease severity</t>
  </si>
  <si>
    <t>Main issue was not lack of clinical benefit, but unacceptable cost at current prices. No side agreements were reached. Uncertainty around whether current prices were reasonable given long-term treatment costs</t>
  </si>
  <si>
    <t>Adult patients with Fabry disease. In the class reassessment, Elfabrio, Fabrazyme, Replagal and Galafold were all reassessed together</t>
  </si>
  <si>
    <t>TLV accepted that all Fabry medicines provide better effect than no treatment, but decided the costs were not reasonable. Long transition period was granted to avoid sudden disruption of care</t>
  </si>
  <si>
    <t>Important negative pricing-pressure case. Sweden did not reject Fabry treatment clinically; it removed the whole class from reimbursement to force new regional solutions/pricing outside the high-cost protection system</t>
  </si>
  <si>
    <t>not clearly available; TLV stated cost was 'substantially higher than usually considered reasonable'</t>
  </si>
  <si>
    <t>Medicinrådet assessment, followed by Fabry treatment guideline, drug recommendation and Amgros tender</t>
  </si>
  <si>
    <t>Initially not recommended as standard treatment in 2024 due to price; later recommended after treatment guideline and tender</t>
  </si>
  <si>
    <t>Original decision 24/01/2024; treatment recommendation approved 26/03/2025; effective from 01/08/2025</t>
  </si>
  <si>
    <t>Other Fabry treatments, especially agalsidase beta/Fabrazyme and other ERTs considered clinically comparable</t>
  </si>
  <si>
    <t>ICER not publicly central in current notes. Decision driven by tender outcome: Elfabrio became clearly cheaper than the other clinically equivalent Fabry medicines</t>
  </si>
  <si>
    <t>Main issue was price relative to clinically comparable alternatives. After equivalence assessment, economic competition became decisive</t>
  </si>
  <si>
    <t>Recommended for Fabry disease. New patients should start on pegunigalsidase alfa, and as many existing patients as possible should switch where clinically appropriate</t>
  </si>
  <si>
    <t>Medicinrådet created a treatment guideline to enable price competition in a high-cost rare disease area. Amgros tender made Elfabrio the cheapest option</t>
  </si>
  <si>
    <t>Strong positive market access case. Denmark moved from rejection to recommendation once Elfabrio became the lowest-cost clinically equivalent option. This is a clear procurement-driven access model</t>
  </si>
  <si>
    <t>Nye Metoder simplified method assessment with Sykehusinnkjøp price note</t>
  </si>
  <si>
    <t>Initially not introduced; later introduced after renewed price negotiations</t>
  </si>
  <si>
    <t>Not introduced 28/08/2023; introduced 23/10/2023; use from 01/12/2023</t>
  </si>
  <si>
    <t>Existing Fabry treatments in procurement: Replagal/agalsidase alfa, Fabrazyme/agalsidase beta and Galafold/migalastat</t>
  </si>
  <si>
    <t>No public ICER. Cost-effectiveness was not calculated; price comparison/procurement logic was central</t>
  </si>
  <si>
    <t>Benefit was not initially considered reasonable relative to price. Clinical evidence did not show clear superiority over agalsidase beta; cost-effectiveness was not calculated</t>
  </si>
  <si>
    <t>Long-term enzyme replacement therapy in adults with confirmed Fabry disease</t>
  </si>
  <si>
    <t>DMP/NoMA used a simplified assessment because the mechanism was known, other ERTs were already in use, and Elfabrio was not expected to increase patient numbers</t>
  </si>
  <si>
    <t>Classic Norwegian negotiation case: first no, then yes after improved price. Access depends on price being equal to or lower than the negotiated basis for the decision</t>
  </si>
  <si>
    <t>Fabrazyme</t>
  </si>
  <si>
    <t>Agalsidase beta</t>
  </si>
  <si>
    <t>Sanofi</t>
  </si>
  <si>
    <t>TLV class reassessment of Fabry medicines</t>
  </si>
  <si>
    <t>Excluded from high-cost protection from 01/02/2026</t>
  </si>
  <si>
    <t>Decision 30/01/2025; effective 01/02/2026</t>
  </si>
  <si>
    <t>No treatment, as hypothetical comparator</t>
  </si>
  <si>
    <t>ICER not available</t>
  </si>
  <si>
    <t>Cost+J19:N19 considered too high at current price; no side agreement reached</t>
  </si>
  <si>
    <t>Fabry disease treatment; previously reimbursed within high-cost protection</t>
  </si>
  <si>
    <t>Reassessed together with Replagal, Galafold and Elfabrio</t>
  </si>
  <si>
    <t>Established ERT and key comparator. Sweden accepted benefit but rejected current price level</t>
  </si>
  <si>
    <t>none public</t>
  </si>
  <si>
    <t>Medicinrådet treatment guideline and drug recommendation for Fabry disease</t>
  </si>
  <si>
    <t>Not first-choice after 2025 recommendation</t>
  </si>
  <si>
    <t>Comparator/positioning</t>
  </si>
  <si>
    <t>Recommendation approved 26/03/2025; effective 01/08/2025</t>
  </si>
  <si>
    <t>Other Fabry treatments, especially Elfabrio and Replagal</t>
  </si>
  <si>
    <t>ICER not central/not available</t>
  </si>
  <si>
    <t>Considered clinically comparable to Elfabrio, but more expensive after tender</t>
  </si>
  <si>
    <t>Fabry disease; may remain relevant if patient-specific reasons prevent switching</t>
  </si>
  <si>
    <t>Included in guideline but not selected in drug recommendation because Elfabrio won on price</t>
  </si>
  <si>
    <t>Important comparator, but Denmark now prioritises Elfabrio as cheaper equivalent ERT</t>
  </si>
  <si>
    <t>Included in Sykehusinnkjøp Fabry procurement/tender</t>
  </si>
  <si>
    <t>Available / established treatment</t>
  </si>
  <si>
    <t>Existing before Elfabrio; tender dates vary</t>
  </si>
  <si>
    <t>Replagal, Galafold, Elfabrio</t>
  </si>
  <si>
    <t>Price ranking and procurement position</t>
  </si>
  <si>
    <t>Fabry disease according to specialist use</t>
  </si>
  <si>
    <t>ICER not available
Established ERT in Norwegian Fabry tender system</t>
  </si>
  <si>
    <t>Main comparator for Elfabrio. No new individual Nye Metoder assessment identified</t>
  </si>
  <si>
    <t>Replagal</t>
  </si>
  <si>
    <t>Agalsidase alfa</t>
  </si>
  <si>
    <t>Takeda/Shire</t>
  </si>
  <si>
    <t>Takeda</t>
  </si>
  <si>
    <t>Cost considered too high at current price; no side agreement reached</t>
  </si>
  <si>
    <t>Reassessed together with Fabrazyme, Galafold and Elfabrio</t>
  </si>
  <si>
    <t>Historical ERT standard. Sweden accepted benefit but rejected current price level</t>
  </si>
  <si>
    <t>Other Fabry treatments, especially Elfabrio and Fabrazyme</t>
  </si>
  <si>
    <t>Considered part of clinically comparable ERT landscape, but not cheapest after tende</t>
  </si>
  <si>
    <t>Fabry disease; may remain relevant for patients who cannot switch</t>
  </si>
  <si>
    <t>Included in treatment guideline but not selected as recommended first-choice</t>
  </si>
  <si>
    <t>Historical standard of care but displaced by Elfabrio in Denmark due to price competition</t>
  </si>
  <si>
    <t>Existing before Elfabrio; tender dates var</t>
  </si>
  <si>
    <t>Fabrazyme, Galafold, Elfabrio</t>
  </si>
  <si>
    <t>Established ERT in Norwegian Fabry tender system</t>
  </si>
  <si>
    <t>Important switch comparator for Elfabrio. No separate new Nye Metoder decision identified</t>
  </si>
  <si>
    <t>Galafold</t>
  </si>
  <si>
    <t>Migalastat</t>
  </si>
  <si>
    <t>Amicus Therapeutics</t>
  </si>
  <si>
    <t>Small molecule (pharmacological chaperone)</t>
  </si>
  <si>
    <t>ICER not available in current notes</t>
  </si>
  <si>
    <t>Fabry disease patients with amenable mutations</t>
  </si>
  <si>
    <t>Reassessed together with Elfabrio, Fabrazyme and Replagal</t>
  </si>
  <si>
    <t>Oral chaperone therapy. Benefit accepted, but current price rejected</t>
  </si>
  <si>
    <t>ERTs and other Fabry medicines</t>
  </si>
  <si>
    <t>Different eligible population because only patients with amenable mutations can receive migalastat</t>
  </si>
  <si>
    <t>Fabry disease with amenable mutation</t>
  </si>
  <si>
    <t>Included in Fabry treatment framework, but Elfabrio became recommended first-choice after tender</t>
  </si>
  <si>
    <t>Important alternative mechanism, but not interchangeable for all patients</t>
  </si>
  <si>
    <t>Fabrazyme, Replagal, Elfabrio</t>
  </si>
  <si>
    <t>Price ranking and eligible mutation population</t>
  </si>
  <si>
    <t>Fabry disease with amenable mutations</t>
  </si>
  <si>
    <t>Included in Norwegian Fabry procurement as chaperone treatment</t>
  </si>
  <si>
    <t>Important oral alternative; not directly suitable for all Fabry patients</t>
  </si>
  <si>
    <t>Amvuttra</t>
  </si>
  <si>
    <t>Vutrisiran</t>
  </si>
  <si>
    <t>Hereditary transthyretin amyloidosis with polyneuropathy, stage 1 or 2; ATTR-CM emerging/under assessment in some countries</t>
  </si>
  <si>
    <t>Alnylam</t>
  </si>
  <si>
    <t>RNA-targeted (siRNA)</t>
  </si>
  <si>
    <t>Cardiology/Amyloidosis</t>
  </si>
  <si>
    <t>TLV reimbursement/subvention assessment with side agreement.</t>
  </si>
  <si>
    <t>Reimbursed with restriction.</t>
  </si>
  <si>
    <t>01/11/2023.</t>
  </si>
  <si>
    <t>Onpattro.</t>
  </si>
  <si>
    <t>Not public; TLV found Amvuttra cost lower than Onpattro after side agreement.</t>
  </si>
  <si>
    <t>Comparative evidence versus Onpattro, long-term outcomes.</t>
  </si>
  <si>
    <t>Adults with ATTRv-PN stage 1/2 who worsened despite TTR stabiliser.</t>
  </si>
  <si>
    <t>SC injection every 3 months; prescription route.</t>
  </si>
  <si>
    <t>Main newer gene-silencing therapy in Sweden; easier administration than Onpattro.</t>
  </si>
  <si>
    <t>not public - judged lower cost than Onpattro after side agreement</t>
  </si>
  <si>
    <t>Medicinrådet status unclear; ATTR-CM request identified.</t>
  </si>
  <si>
    <t>Missing information / ongoing.</t>
  </si>
  <si>
    <t>Missing information.</t>
  </si>
  <si>
    <t>Expected Onpattro for PN; tafamidis/BSC for CM depending indication.</t>
  </si>
  <si>
    <t>No confirmed public hATTR-PN recommendation found.</t>
  </si>
  <si>
    <t>Comparative value and cost.</t>
  </si>
  <si>
    <t>mportant gap because Amvuttra would logically compete with Onpattro.</t>
  </si>
  <si>
    <t>Nye Metoder assessment ongoing.</t>
  </si>
  <si>
    <t>: Ongoing / not introduced yet.</t>
  </si>
  <si>
    <t>PN ongoing; ATTR-CM request identified in 2025.</t>
  </si>
  <si>
    <t>Expected Onpattro/Tegsedi for PN; tafamidis/BSC for CM</t>
  </si>
  <si>
    <t>missing info</t>
  </si>
  <si>
    <t>Long-term comparative benefit, cost, patient numbers.</t>
  </si>
  <si>
    <t>pending</t>
  </si>
  <si>
    <t>Main near-term opportunity to close Norway’s hATTR-PN access gap.</t>
  </si>
  <si>
    <t>Should be followed closely.</t>
  </si>
  <si>
    <t>Onpattro</t>
  </si>
  <si>
    <t>Patisiran</t>
  </si>
  <si>
    <t>Hereditary transthyretin amyloidosis with polyneuropathy, stage 1 or 2</t>
  </si>
  <si>
    <t>TLV health economic assessment for NT-rådet + NT-rådet recommendation.</t>
  </si>
  <si>
    <t>Recommended as clinic drug with regional agreement.</t>
  </si>
  <si>
    <t>nitial recommendation after 2018 approval; updated 2025.</t>
  </si>
  <si>
    <t>No treatment/placebo initially; later gene-silencing alternatives.</t>
  </si>
  <si>
    <t>Not public/currently unavailable</t>
  </si>
  <si>
    <t>Long-term effect, comparative value versus newer gene silencers, indirect comparisons.</t>
  </si>
  <si>
    <t>IV infusion every 3 weeks; still nationally coordinated by NT-rådet.</t>
  </si>
  <si>
    <t>Important first-in-class gene silencer and key comparator for Amvuttra.</t>
  </si>
  <si>
    <t>not public</t>
  </si>
  <si>
    <t>Medicinrådet clinical and economic assessment.</t>
  </si>
  <si>
    <t>Recommended.</t>
  </si>
  <si>
    <t>2020-11-18 00:00:00</t>
  </si>
  <si>
    <t>No treatment/placebo.</t>
  </si>
  <si>
    <t>Incremental cost approx. DKK 20M per patient at AIP; confidential discount lowers actual cost.</t>
  </si>
  <si>
    <t>High cost, long-term benefit, budget impact.</t>
  </si>
  <si>
    <t>hATTR-PN stage 1/2.</t>
  </si>
  <si>
    <t>Considered to provide large added value.</t>
  </si>
  <si>
    <t>Strong positive Danish access case.</t>
  </si>
  <si>
    <t>Nye Metoder assessment process</t>
  </si>
  <si>
    <t>Not introduced / shall not be used.</t>
  </si>
  <si>
    <t>Decision noted 18/03/2024.</t>
  </si>
  <si>
    <t>Not fully assessed because required documentation was not submitted.</t>
  </si>
  <si>
    <t>No ICER; HTA not completed.</t>
  </si>
  <si>
    <t>Missing company documentation.</t>
  </si>
  <si>
    <t>Bestillerforum cancelled the assignment</t>
  </si>
  <si>
    <t>Major Norwegian access gap caused by documentation non-submission.</t>
  </si>
  <si>
    <t>Tegsedi</t>
  </si>
  <si>
    <t>inotersen</t>
  </si>
  <si>
    <t>Ionis / Akcea</t>
  </si>
  <si>
    <t>Ionis/Akcea</t>
  </si>
  <si>
    <t>Initial recommendation after 2019 assessment; updated 2025.</t>
  </si>
  <si>
    <t>No treatment/placebo initially; later Onpattro/other gene silencers.</t>
  </si>
  <si>
    <t>Not public/currently unavailable.</t>
  </si>
  <si>
    <t>Safety profile, thrombocytopenia, renal monitoring, comparative value</t>
  </si>
  <si>
    <t>Weekly SC injection; still nationally coordinated as clinic drug.</t>
  </si>
  <si>
    <t>Available in Sweden, but with greater monitoring burden than Amvuttra/Wainzua.</t>
  </si>
  <si>
    <t>Medicinrådet assessment.</t>
  </si>
  <si>
    <t>Not recommended.</t>
  </si>
  <si>
    <t>2020/2021.</t>
  </si>
  <si>
    <t>No treatment/placebo; indirect comparison with patisiran.</t>
  </si>
  <si>
    <t>Costs judged too high relative to effect and safety</t>
  </si>
  <si>
    <t>Serious adverse effects and cost relative to benefit.</t>
  </si>
  <si>
    <t>Medicinrådet considered benefit insufficient considering safety concerns.</t>
  </si>
  <si>
    <t>Denmark is the clearest Nordic negative Tegsedi case.</t>
  </si>
  <si>
    <t>Nye Metoder assessment ordered.</t>
  </si>
  <si>
    <t>Missing information / no final decision identified.</t>
  </si>
  <si>
    <t>Expected no treatment/Onpattro.</t>
  </si>
  <si>
    <t>Possible non-submission; safety; comparative value.</t>
  </si>
  <si>
    <t>Assessment initiated but no final public decision confirmed.</t>
  </si>
  <si>
    <t>Vyndaqel</t>
  </si>
  <si>
    <t>tafamidis</t>
  </si>
  <si>
    <t>ATTR amyloidosis; historically hATTR-PN stage 1, currently especially ATTR-CM</t>
  </si>
  <si>
    <t>Small molecule (stabilizer)</t>
  </si>
  <si>
    <t>TLV reimbursement assessment + NAG LOK clinical guidance.</t>
  </si>
  <si>
    <t>Vyndaqel 20 mg for PN no longer marketed; Vyndaqel 61 mg for ATTR-CM reimbursed with restriction and side agreement.</t>
  </si>
  <si>
    <t>61 mg reimbursed from 01/09/2021; current guidance 2025.</t>
  </si>
  <si>
    <t>BSC/no treatment for CM; TTR stabiliser context for PN.</t>
  </si>
  <si>
    <t>Cost-effectiveness and appropriate patient selection.</t>
  </si>
  <si>
    <t>61 mg restricted to ATTR-CM; 20 mg PN formulation no longer marketed.</t>
  </si>
  <si>
    <t>TTR stabiliser; for PN, diflunisal is practical first-line stabiliser in Sweden.</t>
  </si>
  <si>
    <t>Essential comparator/context drug rather than current main PN access product.</t>
  </si>
  <si>
    <t>Medicinrådet own-initiative comparative assessment.</t>
  </si>
  <si>
    <t>Recommended for hATTR-PN stage 1.</t>
  </si>
  <si>
    <t>19/03/2021.</t>
  </si>
  <si>
    <t>Patisiran, inotersen, no treatment.</t>
  </si>
  <si>
    <t>Not central/currently unavailable.</t>
  </si>
  <si>
    <t>Limited to stage 1 and stabiliser role.</t>
  </si>
  <si>
    <t>hATTR-PN stage 1.</t>
  </si>
  <si>
    <t>Positioned as stabiliser before gene-silencing therapy.</t>
  </si>
  <si>
    <t>: Important first-line comparator in Danish sequence.</t>
  </si>
  <si>
    <t>Nye Metoder HTA + Sykehusinnkjøp price note + Beslutningsforum.</t>
  </si>
  <si>
    <t>Introduced for ATTR-CM.</t>
  </si>
  <si>
    <t>20/06/2022; use from 15/07/2022.</t>
  </si>
  <si>
    <t>BSC/standard care</t>
  </si>
  <si>
    <t>High at list price; confidential price enabled access.</t>
  </si>
  <si>
    <t>Budget impact, patient numbers, long-term benefit.</t>
  </si>
  <si>
    <t>ATTR-CM according to specialist criteria</t>
  </si>
  <si>
    <t>Positive Norwegian ATTR case, but for cardiomyopathy not PN.</t>
  </si>
  <si>
    <t>Norway has tafamidis access for CM but not clear gene-silencer access for PN.</t>
  </si>
  <si>
    <t>Oxlumo</t>
  </si>
  <si>
    <t>Lumasiran</t>
  </si>
  <si>
    <t>Primary hyperoxaluria type 1 (PH1)</t>
  </si>
  <si>
    <t>Alnylam Netherlands B.V.</t>
  </si>
  <si>
    <t>Renal/Metabolic</t>
  </si>
  <si>
    <t>NT-rådet national recommendation; TLV health-economic assessment requested but not completed because company did not submit economic evidence</t>
  </si>
  <si>
    <t>General use not recommended; may be used only as indispensable care</t>
  </si>
  <si>
    <t>NT-rådet statement 24/11/2025; reviewed 14/04/2026</t>
  </si>
  <si>
    <t>Best supportive care: hyperhydration, crystallisation inhibitors, pyridoxine where relevant, dialysis/transplant pathway</t>
  </si>
  <si>
    <t>No public ICER; NT-rådet could not assess cost-effectiveness because health-economic evidence was not submitted</t>
  </si>
  <si>
    <t>No health-economic assessment available; high cost; uncertainty linking oxalate reduction to long-term renal survival and transplant avoidance</t>
  </si>
  <si>
    <t>Only after consultation with national PH1 treatment council: children with genetically verified infantile PH1 awaiting liver or liver+kidney transplant; children/adults with genetically verified PH1 where treatment enables transplant; stop after successful transplant</t>
  </si>
  <si>
    <t>ILLUMINATE-A/B/C showed strong reductions in urinary/plasma oxalate, but evidence is mainly biomarker-based</t>
  </si>
  <si>
    <t>Clear restricted-access case. Sweden accepts use only as bridge/indispensable care, not routine commercial uptake</t>
  </si>
  <si>
    <t>no public ICER - economic evidence not submitted</t>
  </si>
  <si>
    <t>Missing information</t>
  </si>
  <si>
    <t>Nye Metoder / Bestillerforum assignment for short method assessment of effect and safety</t>
  </si>
  <si>
    <t>Assessment cancelled / not completed due to missing company documentation</t>
  </si>
  <si>
    <t>Bestillerforum case 25/09/2023; original assignment 18/01/2021</t>
  </si>
  <si>
    <t>Administrative/procedural + Price / cost-effectiveness</t>
  </si>
  <si>
    <t>Missing information — no public ICER because no completed method assessment</t>
  </si>
  <si>
    <t>No method assessment completed because required documentation was not submitted; therefore clinical effect, safety, costs and cost-effectiveness were not assessed nationally</t>
  </si>
  <si>
    <t>No national routine-use conditions established</t>
  </si>
  <si>
    <t>Lumasiran was identified as Oxlumo for PH1, ATC A16AX18, orphan medicine, subcutaneous injection, specialist-healthcare responsibility; not marketed in Norway at the time of the Bestillerforum note</t>
  </si>
  <si>
    <t>Important procedural failure case: market access did not fail after negative cost-effectiveness modelling; it stalled/collapsed because the company did not provide documentation</t>
  </si>
  <si>
    <t>Crysvita</t>
  </si>
  <si>
    <t>Burosumab</t>
  </si>
  <si>
    <t>X-linked hypophosphatemia (XLH)</t>
  </si>
  <si>
    <t>Kyowa Kirin AB</t>
  </si>
  <si>
    <t>Musculoskeletal/Metabolic</t>
  </si>
  <si>
    <t>TLV health-economic assessment + NT-rådet national recommendation</t>
  </si>
  <si>
    <t>TLV 2019; NT-rådet updated 2023/2024; agreement active 01/12/2023–30/11/2026, extension option to 30/11/2027</t>
  </si>
  <si>
    <t>Conventional therapy: oral phosphate + active vitamin D analogues</t>
  </si>
  <si>
    <t>Approx. SEK 12M/QALY vs conventional therapy</t>
  </si>
  <si>
    <t>Long-term effect, high ICER, durability of skeletal benefit, translation of rickets/phosphate outcomes into lifetime QoL and cost-effectiveness</t>
  </si>
  <si>
    <t>Children ≥1 year and adolescents with growing skeleton, genetically verified XLH, insufficient response to optimized conventional treatment; treatment initiated/evaluated with National XLH Treatment Board</t>
  </si>
  <si>
    <t>Clinically superior to conventional therapy for rickets healing and phosphate regulation, but cost-effectiveness very uncertain at list price</t>
  </si>
  <si>
    <t>Strong restricted paediatric access case; access depends on expert-board gatekeeping and regional agreement</t>
  </si>
  <si>
    <t>exact (approx., vs conventional therapy)</t>
  </si>
  <si>
    <t>Medicinrådet assessment + Amgros negotiation</t>
  </si>
  <si>
    <t>2019-11-20 00:00:00</t>
  </si>
  <si>
    <t>Conventional therapy: oral phosphate + alfacalcidol / active vitamin D</t>
  </si>
  <si>
    <t>No public ICER; Medicinrådet considered costs very high and cost-benefit not reasonable, but recommendation justified due to severity</t>
  </si>
  <si>
    <t>Low evidence quality, long-term durability, high cost, uncertainty around sustained benefit</t>
  </si>
  <si>
    <t>Children/adolescents with skeletal growth and severe XLH defined by RSS ≥2</t>
  </si>
  <si>
    <t>Moderate-to-large added clinical value assumed for severe paediatric patients, despite low evidence certainty</t>
  </si>
  <si>
    <t>Denmark uses a clear radiographic severity threshold; positive but narrow access</t>
  </si>
  <si>
    <t>Nye Metoder rapid HTA + Beslutningsforum decision</t>
  </si>
  <si>
    <t>Restricted for paediatric patients; Negative for adults</t>
  </si>
  <si>
    <t>Initial paediatric introduction 23/09/2019; updated assessment 2021; criteria confirmed/updated 09/01/2025</t>
  </si>
  <si>
    <t>Conventional therapy expected; exact comparator not fully detailed in public summary</t>
  </si>
  <si>
    <t>No public ICER identified</t>
  </si>
  <si>
    <t>Budget impact, high cost, restricted reimbursement criteria</t>
  </si>
  <si>
    <t>Restricted special reimbursement in upper 100% reimbursement class; conditional reimbursement with financial agreement</t>
  </si>
  <si>
    <t>Finland used HILA/Kela reimbursement route rather than Fimea/PALKO hospital HTA route</t>
  </si>
  <si>
    <t>mportant correction: Finland is not missing anymore; access is documented through outpatient reimbursement, but public details remain limited</t>
  </si>
  <si>
    <t>Enspryng</t>
  </si>
  <si>
    <t>Satralizumab</t>
  </si>
  <si>
    <t>Neuromyelitis optica spectrum disorder</t>
  </si>
  <si>
    <t>Neurology (autoimmune)</t>
  </si>
  <si>
    <t>NT-rådet managed introduction / TLV pathway</t>
  </si>
  <si>
    <t>Wait / defer introduction</t>
  </si>
  <si>
    <t>2022-05-30 00:00:00</t>
  </si>
  <si>
    <t>Not public</t>
  </si>
  <si>
    <t>Cost-effectiveness vs current practice</t>
  </si>
  <si>
    <t>AQP4-IgG+ NMOSD; regions should wait for TLV decision</t>
  </si>
  <si>
    <t>NT-rådet told regions to await TLV benefit decision</t>
  </si>
  <si>
    <t>Use as “deferred / no routine access”</t>
  </si>
  <si>
    <t>not public; ongoing</t>
  </si>
  <si>
    <t>2022-03-24 00:00:00</t>
  </si>
  <si>
    <t>Current Danish off-label practice / no treatment in evidence base</t>
  </si>
  <si>
    <t>Effect vs existing off-label therapies; infections; high cost</t>
  </si>
  <si>
    <t>AQP4-IgG+ adults/adolescents</t>
  </si>
  <si>
    <t>Satralizumab reduced attacks vs no treatment, but was much more expensive than current medicines</t>
  </si>
  <si>
    <t>Negative access case</t>
  </si>
  <si>
    <t>DMP / Nye Metoder assessment</t>
  </si>
  <si>
    <t>Not introduced</t>
  </si>
  <si>
    <t>Off-label rituximab/contextual SoC</t>
  </si>
  <si>
    <t>Price vs uncertain incremental value</t>
  </si>
  <si>
    <t>AQP4-IgG+ NMOSD</t>
  </si>
  <si>
    <t>Norway notes satralizumab has MT but is not introduced; rituximab/tocilizumab used off-label</t>
  </si>
  <si>
    <t>Rituximab trap</t>
  </si>
  <si>
    <t>Uplizna</t>
  </si>
  <si>
    <t>Inebilizumab</t>
  </si>
  <si>
    <t>NMOSD</t>
  </si>
  <si>
    <t>Amgen</t>
  </si>
  <si>
    <t>No public Swedish NMOSD HTA/reimbursement assessment identified. Swedish source only says Uplizna is not launched in Sweden for NMOSD; later horizon scanning is for IgG4-RD, not NMOSD.</t>
  </si>
  <si>
    <t>not evaluated</t>
  </si>
  <si>
    <t>2024-11-28 00:00:00</t>
  </si>
  <si>
    <t>Rituximab</t>
  </si>
  <si>
    <t>No reliable evidence of better efficacy/safety than rituximab; high cost</t>
  </si>
  <si>
    <t>AQP4-IgG+ adults</t>
  </si>
  <si>
    <t>Amgros negotiated confidential price, but final value remained insufficient</t>
  </si>
  <si>
    <t>Strong comparator rejection</t>
  </si>
  <si>
    <t>DMP method assessment + Sykehusinnkjøp price note + Beslutningsforum</t>
  </si>
  <si>
    <t>2025-09-22 00:00:00</t>
  </si>
  <si>
    <t>Rituximab and placebo requested</t>
  </si>
  <si>
    <t>No valid ICER; max price used</t>
  </si>
  <si>
    <t>Evidence not suitable for cost-utility analysis; no price offer</t>
  </si>
  <si>
    <t>Amgen gave no price offer; max AUP used; year 1 cost listed as 2.22M NOK incl. VAT</t>
  </si>
  <si>
    <t>Clear price/evidence failure</t>
  </si>
  <si>
    <t>Soliris</t>
  </si>
  <si>
    <t>Eculizumab</t>
  </si>
  <si>
    <t>Paroxysmal nocturnal hemoglobinuria (PNH)</t>
  </si>
  <si>
    <t>Alexion (AstraZeneca Rare Disease)</t>
  </si>
  <si>
    <t>NT-radet opinion (price-based, no new health-economic assessment)</t>
  </si>
  <si>
    <t>Not recommended for general use (Soliris specifically)</t>
  </si>
  <si>
    <t>2024-12-19 00:00:00</t>
  </si>
  <si>
    <t>Bekemv (eculizumab biosimilar), Epysqli, Ultomiris, Aspaveli</t>
  </si>
  <si>
    <t>Not reported (recommendation is price-comparison based, not a fresh cost-per-QALY assessment)</t>
  </si>
  <si>
    <t>N/A - decision is price-driven, not an evidence/uncertainty issue</t>
  </si>
  <si>
    <t>NT-radet recommends against general use of Soliris/Epysqli/Ultomiris/Aspaveli for PNH; Bekemv recommended where treatment is unavoidable; a national treatment council (PNH-gruppen) decides which patients can be offered Bekemv and manages switching from Soliris</t>
  </si>
  <si>
    <t>Replaces NT-radet's earlier PNH opinion. Verified against source 'PNH Soliris 2024-12-19' (TLV/NT-radet).</t>
  </si>
  <si>
    <t>Source: TLV/NT-radet opinion, 'PNH Soliris 2024-12-19'.</t>
  </si>
  <si>
    <t>No Medicinraadet PNH-specific assessment identified in available sources</t>
  </si>
  <si>
    <t>Administrative/procedural + Comparator/positioning issue</t>
  </si>
  <si>
    <t>No HTA assessment identified in available source documents for this indication/country combination</t>
  </si>
  <si>
    <t>Sykehusinnkjop price note (Legemiddelverket forenklet metodevurdering, 20.4.2022, underlying)</t>
  </si>
  <si>
    <t>Outcome not confirmed in available sources</t>
  </si>
  <si>
    <t>2022-08-30 00:00:00</t>
  </si>
  <si>
    <t>None submitted - Alexion did not provide documentation for a cost-effectiveness assessment for any of the 4 indications</t>
  </si>
  <si>
    <t>Administrative/procedural + Comparator/positioning issue + Price / cost-effectiveness</t>
  </si>
  <si>
    <t>Not assessed / no ICER (Legemiddelverket: 'med dagens pris... er det lite sannsynlig at prioriteringskriteriene er oppfylt')</t>
  </si>
  <si>
    <t>No ICER calculable: Alexion chose not to submit the required documentation for a health-economic assessment for any indication</t>
  </si>
  <si>
    <t>Price note ID2019_61 covers PNH together with aHUS (ID2020_003), NMOSD (ID2019_043) and gMG (ID2017_020/ID2019_021) in a single combined document</t>
  </si>
  <si>
    <t>Sykehusinnkjop recommended that, if eculizumab is introduced, the agreed maximum price be used. A Beslutningsforum decision was scheduled for 26.09.2022. No Beslutningsforum decision letter for PNH (or any of the 4 indications) was found among the available source documents.</t>
  </si>
  <si>
    <t>Source: id2019_061-med-flere price note, Sykehusinnkjop HF, 30.08.2022. NB: the unrelated date 18.10.2022 that appeared in the prior version of this database belongs to a real Yescarta (axicabtagene ciloleucel) Beslutningsforum decision, not to any Soliris indication -- that entry was fabricated/misattributed.</t>
  </si>
  <si>
    <t>Ultomiris</t>
  </si>
  <si>
    <t>Ravulizumab</t>
  </si>
  <si>
    <t>Alexion Pharma Nordics</t>
  </si>
  <si>
    <t>No Swedish NMOSD recommendation. Samverkan says Soliris has NMOSD indication, but NT-rådet has only taken a position for PNH and aHUS.</t>
  </si>
  <si>
    <t>2026-04-29 00:00:00</t>
  </si>
  <si>
    <t>Current standard treatment after rituximab failure</t>
  </si>
  <si>
    <t>3.0 QALYs and 3.0 life-years estimated; list-price extra cost ~19.0M DKK per patient</t>
  </si>
  <si>
    <t>Single-arm CHAMPION-NMOSD design; indirect PREVENT comparator; uncertain survival/QoL gain; meningococcal infection risk</t>
  </si>
  <si>
    <t>AQP4+ adults, EDSS ≤7, attack in last 12 months, insufficient rituximab effect</t>
  </si>
  <si>
    <t>Rejected because costs not acceptable despite estimated benefit</t>
  </si>
  <si>
    <t>Best row for “benefit accepted but price too high”</t>
  </si>
  <si>
    <t>Nye Metoder suitability assessment / ongoing mapping</t>
  </si>
  <si>
    <t>Under evaluation</t>
  </si>
  <si>
    <t>ID2022_143 active; request 19/08/2025</t>
  </si>
  <si>
    <t>Under review; rituximab/tocilizumab are Norwegian off-label practice</t>
  </si>
  <si>
    <t>Not available</t>
  </si>
  <si>
    <t>No introduced NMOSD branded comparators; long-term value and sequencing</t>
  </si>
  <si>
    <t>AQP4+ adults</t>
  </si>
  <si>
    <t>DMP states satralizumab, eculizumab, inebilizumab and ravulizumab have MT but are not introduced</t>
  </si>
  <si>
    <t>Pipeline/watch row</t>
  </si>
  <si>
    <t>Koselugo</t>
  </si>
  <si>
    <t>Selumetinib</t>
  </si>
  <si>
    <t>NF1 plexiform neurofibromas</t>
  </si>
  <si>
    <t>Alexion Pharma Nordics AB</t>
  </si>
  <si>
    <t>Small molecule (kinase inhibitor)</t>
  </si>
  <si>
    <t>Oncology (genetic tumour syndrome)</t>
  </si>
  <si>
    <t>TLV reimbursement assessment</t>
  </si>
  <si>
    <t>Not reimbursed / rejected</t>
  </si>
  <si>
    <t>2024-07-11 00:00:00</t>
  </si>
  <si>
    <t>Best supportive care</t>
  </si>
  <si>
    <t>Company base case: 1,756,579 SEK/QALY</t>
  </si>
  <si>
    <t>Single-arm SPRINT evidence; indirect Natural History comparison; uncertain long-term benefit</t>
  </si>
  <si>
    <t>Applied subgroup: children 3–18 with very high severity NF1 PN</t>
  </si>
  <si>
    <t>TLV rejected inclusion in pharmaceutical benefits; no tripartite agreement</t>
  </si>
  <si>
    <t>Cost-effectiveness rejection despite high severity</t>
  </si>
  <si>
    <t>exact (company base case, TLV rejected 11 Jul 2024)</t>
  </si>
  <si>
    <t>No Medicinrådet HTA identified; Amgros institutional framework</t>
  </si>
  <si>
    <t>Nye Metoder / DMP + Sykehusinnkjøp</t>
  </si>
  <si>
    <t>Introduced / recommended with restrictions</t>
  </si>
  <si>
    <t>2026-01-19 00:00:00</t>
  </si>
  <si>
    <t>Not public / confidential</t>
  </si>
  <si>
    <t>Single-arm SPRINT; uncertain long-term outcomes</t>
  </si>
  <si>
    <t>Pediatric NF1 PN ≥3 years; severe symptoms; specialist initiation; strict criteria</t>
  </si>
  <si>
    <t>Rejected in 2023 and 2024, approved after new price/alternative agreement</t>
  </si>
  <si>
    <t>Managed-entry success</t>
  </si>
  <si>
    <t>Fintepla</t>
  </si>
  <si>
    <t>Fenfluramine</t>
  </si>
  <si>
    <t>Dravet syndrome</t>
  </si>
  <si>
    <t>Zogenix</t>
  </si>
  <si>
    <t>Zogenix (UCB)</t>
  </si>
  <si>
    <t>Neurology (epilepsy)</t>
  </si>
  <si>
    <t>Clinical guidance / regional specialist use; no Dravet reimbursement</t>
  </si>
  <si>
    <t>Restricted / not reimbursed for Dravet</t>
  </si>
  <si>
    <t>04/07/2025 guideline</t>
  </si>
  <si>
    <t>Valproate + stiripentol + clobazam background therapy</t>
  </si>
  <si>
    <t>No public Dravet ICER</t>
  </si>
  <si>
    <t>Long-term cardiac safety; regional budget impact; lack of Dravet reimbursement</t>
  </si>
  <si>
    <t>Use only after insufficient effect of valproate + stiripentol + clobazam; university hospital paediatric neurology dialogue; seizure diary; labs; echocardiography</t>
  </si>
  <si>
    <t>Fintepla reimbursed for LGS, not Dravet</t>
  </si>
  <si>
    <t>Code as: restricted regional clinic funding / no national reimbursement</t>
  </si>
  <si>
    <t>no public Dravet ICER</t>
  </si>
  <si>
    <t>Stiripentol for stiripentol-naïve patients; placebo add-on where stiripentol already included</t>
  </si>
  <si>
    <t>AIP analysis: ~2.2m DKK incremental cost/patient; 5-year budget impact ~6.8m DKK; confidential net values redacted</t>
  </si>
  <si>
    <t>Mortality assumptions, treatment duration, lifelong cost, dose assumptions</t>
  </si>
  <si>
    <t>Add-on therapy to standard treatment; specialist hospital use</t>
  </si>
  <si>
    <t>Markov model, 28-day cycles; states: on treatment, stopped treatment, death</t>
  </si>
  <si>
    <t>Strong Danish positive access case; good for “MEA/procurement success” pivot</t>
  </si>
  <si>
    <t>Nye Metoder / DMP + Sykehusinnkjøp + Beslutningsforum</t>
  </si>
  <si>
    <t>Not introduced initially; later should be coded according to latest official decision you have</t>
  </si>
  <si>
    <t>12/02/2024 negative; check final positive date if confirmed</t>
  </si>
  <si>
    <t>Cannabidiol / Epidyolex</t>
  </si>
  <si>
    <t>ICER not public; price note confidential</t>
  </si>
  <si>
    <t>Price too high vs documented clinical benefit; uncertainty vs cannabidiol</t>
  </si>
  <si>
    <t>Add-on therapy ≥2 years; specialist initiation</t>
  </si>
  <si>
    <t>Beslutningsforum wanted use but rejected due to price; asked Sykehusinnkjøp to renegotiat</t>
  </si>
  <si>
    <t>Code as “price-driven rejection / renegotiation”; update to “recommended” only if final approval document is confirmed</t>
  </si>
  <si>
    <t>Diacomit</t>
  </si>
  <si>
    <t>Stiripentol</t>
  </si>
  <si>
    <t>Biocodex</t>
  </si>
  <si>
    <t>TLV outpatient reimbursement, older orphan drug</t>
  </si>
  <si>
    <t>Reimbursed</t>
  </si>
  <si>
    <t>Historical; follow-up condition removed 2016</t>
  </si>
  <si>
    <t>Placebo add-on to clobazam + valproate</t>
  </si>
  <si>
    <t>No modern ICER</t>
  </si>
  <si>
    <t>Older evidence base; limited modern HTA uncertainty</t>
  </si>
  <si>
    <t>Adjunct to clobazam + valproate</t>
  </si>
  <si>
    <t>Established standard therapy</t>
  </si>
  <si>
    <t>Code as “grandfathered / established reimbursed SoC”</t>
  </si>
  <si>
    <t>no modern ICER</t>
  </si>
  <si>
    <t>Historical access; used as standard comparator/background therapy</t>
  </si>
  <si>
    <t>Reimbursed / established SoC</t>
  </si>
  <si>
    <t>Historical / pre-modern Medicinrådet</t>
  </si>
  <si>
    <t>Not reassessed under modern HTA</t>
  </si>
  <si>
    <t>Used as part of standard therapy</t>
  </si>
  <si>
    <t>Medicinrådet uses stiripentol as key comparator/background in Fintepla assessment</t>
  </si>
  <si>
    <t>Code as “established comparator / pre-modern reimbursement”</t>
  </si>
  <si>
    <t>Historical access; not ordered for separate Nye Metoder assessment</t>
  </si>
  <si>
    <t>Established / available, but not separately assessed</t>
  </si>
  <si>
    <t>Historical</t>
  </si>
  <si>
    <t>Valproate + clobazam</t>
  </si>
  <si>
    <t>No ICER</t>
  </si>
  <si>
    <t>No modern HTA</t>
  </si>
  <si>
    <t>Add-on after valproate + clobazam insufficient</t>
  </si>
  <si>
    <t>Norwegian method alert states stiripentol may be considered after valproate + clobazam failure</t>
  </si>
  <si>
    <t>Code as “standard care / not separately HTA-assessed”</t>
  </si>
  <si>
    <t>Takhzyro</t>
  </si>
  <si>
    <t>Lanadelumab</t>
  </si>
  <si>
    <t>Hereditary angioedema</t>
  </si>
  <si>
    <t>Takeda Pharma AB</t>
  </si>
  <si>
    <t>Immunology</t>
  </si>
  <si>
    <t>TLV outpatient reimbursement assessment</t>
  </si>
  <si>
    <t>Approved with restriction / limited subsidy</t>
  </si>
  <si>
    <t>01/01/2022; expanded 14/06/2024</t>
  </si>
  <si>
    <t>Acute on-demand treatment only</t>
  </si>
  <si>
    <t>Exact ICER not public; TLV judged cost reasonable only in restricted high-attack subgroup</t>
  </si>
  <si>
    <t>Dose-spacing in practice; long-term budget impact; high cost</t>
  </si>
  <si>
    <t>Severe HAE; ≥4 HAE attacks/month; age restriction removed after pediatric expansion</t>
  </si>
  <si>
    <t>TLV accepted Takhzyro for patients with severe disease and high acute-treatment use; 2024 decision expanded to patients from 2 years</t>
  </si>
  <si>
    <t>Strong restricted-access case; good pivot code: positive with restriction + severity threshold</t>
  </si>
  <si>
    <t>not public - judged reasonable only in restricted subgroup</t>
  </si>
  <si>
    <t>Recommended with restriction</t>
  </si>
  <si>
    <t>Missing information / first recommendation reported around 2019</t>
  </si>
  <si>
    <t>On-demand acute treatment / existing prophylaxis context</t>
  </si>
  <si>
    <t>ot public / confidential Amgros pricing</t>
  </si>
  <si>
    <t>Comparative value vs existing prophylaxis; confidential net price</t>
  </si>
  <si>
    <t>Specialist use for severe HAE; exact Danish criteria need official source confirmation</t>
  </si>
  <si>
    <t>Public upload set does not include Danish primary document; use as provisional until official Medicinrådet/Amgros source is stored</t>
  </si>
  <si>
    <t>Code as positive restricted, but mark “official source pending”</t>
  </si>
  <si>
    <t>Nye Metoder / DMP reassessment + Sykehusinnkjøp price negotiation</t>
  </si>
  <si>
    <t>Introduced with conditions</t>
  </si>
  <si>
    <t>23/09/2024; pediatric price note 2026</t>
  </si>
  <si>
    <t>Orladeyo became the relevant current comparator in Norway</t>
  </si>
  <si>
    <t>ICER/cost-effectiveness not public; confidential prices used</t>
  </si>
  <si>
    <t>Indirect comparison vs Orladeyo; long-term efficacy; dose-spacing; utility mapping</t>
  </si>
  <si>
    <t>≥12 years initially; ≥1 severe attack/week at start; evaluate after 3 months and stop if attacks not reduced by 50%; children 2–11 assessed separately</t>
  </si>
  <si>
    <t>DMP states Orladeyo is current standard comparator; pediatric expansion handled through price note</t>
  </si>
  <si>
    <t>Strong managed-entry success; important for pivot: positive after reassessment + active comparator + stop rule</t>
  </si>
  <si>
    <t>Orkambi</t>
  </si>
  <si>
    <t>Lumacaftor/Ivacaftor</t>
  </si>
  <si>
    <t>Cystic fibrosis</t>
  </si>
  <si>
    <t>Vertex Pharmaceuticals (Ireland) Limited</t>
  </si>
  <si>
    <t>Vertex Pharmaceuticals</t>
  </si>
  <si>
    <t>Small molecule (CFTR modulator)</t>
  </si>
  <si>
    <t>Pulmonology</t>
  </si>
  <si>
    <t>TLV outpatient benefit assessment</t>
  </si>
  <si>
    <t>Reimbursed / restricted</t>
  </si>
  <si>
    <t>2018-07-01 00:00:00</t>
  </si>
  <si>
    <t>missing</t>
  </si>
  <si>
    <t>Modest clinical benefit, long-term survival extrapolation</t>
  </si>
  <si>
    <t>F508del homozygous; specialist CF care</t>
  </si>
  <si>
    <t>Included in high-cost protection; later part of CFTR portfolio context</t>
  </si>
  <si>
    <t>Amgros portfolio agreement; limited public HTA detail</t>
  </si>
  <si>
    <t>Reimbursed through portfolio access</t>
  </si>
  <si>
    <t>2018-10-01 00:00:00</t>
  </si>
  <si>
    <t>BSC / portfolio context</t>
  </si>
  <si>
    <t>Missing information on standalone HTA</t>
  </si>
  <si>
    <t>F508del homozygous</t>
  </si>
  <si>
    <t>Fixed annual portfolio agreement across Vertex CFTR modulators</t>
  </si>
  <si>
    <t>Nye Metoder + Sykehusinnkjøp price note</t>
  </si>
  <si>
    <t>Introduced after agreement</t>
  </si>
  <si>
    <t>25/04/2022; extension &gt;1 year assessed 27/05/2024</t>
  </si>
  <si>
    <t>Not calculated for 2024 extension</t>
  </si>
  <si>
    <t>No new CE model for 1-year extension; low expected budget impact</t>
  </si>
  <si>
    <t>F508del homozygous; age ≥1 after extension</t>
  </si>
  <si>
    <t>Alternative price agreement linked to original CFTR modulator introduction</t>
  </si>
  <si>
    <t>Kaftrio</t>
  </si>
  <si>
    <t>Elexacaftor/Tezacaftor/Ivacaftor</t>
  </si>
  <si>
    <t>TLV benefit assessment + NT-rådet managed introduction</t>
  </si>
  <si>
    <t>Initially rejected, later reimbursed</t>
  </si>
  <si>
    <t>Rejected 25/03/2021 and 27/01/2022; approved 18/11/2022, from 01/12/2022</t>
  </si>
  <si>
    <t>Orkambi for F/F; BSC for heterozygous groups</t>
  </si>
  <si>
    <t>Earlier ICER around SEK 7.7–11.7M/QALY for F/MF in 2021; final ICER not public after agreement</t>
  </si>
  <si>
    <t>High lifetime budget impact; survival and QoL extrapolation</t>
  </si>
  <si>
    <t>At least one F508del; specialist CF care</t>
  </si>
  <si>
    <t>Strong example of price-driven reversal after side agreement</t>
  </si>
  <si>
    <t>range (earlier 2021 estimate for F/MF; final ICER confidential after agreement)</t>
  </si>
  <si>
    <t>Medicinrådet/Amgros framework</t>
  </si>
  <si>
    <t>Reimbursed / introduced</t>
  </si>
  <si>
    <t>2020–2021 baseline; later pediatric expansions</t>
  </si>
  <si>
    <t>BSC / previous CFTR modulators</t>
  </si>
  <si>
    <t>Budget impact, long-term durability</t>
  </si>
  <si>
    <t>At least one F508del; CF specialist centres</t>
  </si>
  <si>
    <t>Denmark used portfolio-style agreement; important pivot code = “portfolio MEA”</t>
  </si>
  <si>
    <t>Introduced after price negotiation</t>
  </si>
  <si>
    <t>25/04/2022; 2–6 extension 27/05/2024, use from 01/07/2024</t>
  </si>
  <si>
    <t>BSC; earlier modulators by genotype</t>
  </si>
  <si>
    <t>Not calculated for 2024 extension; prior CE confidential/redacted</t>
  </si>
  <si>
    <t>Long-term survival, transplant avoidance, budget impact</t>
  </si>
  <si>
    <t>At least one F508del; age ≥2 after extension</t>
  </si>
  <si>
    <t>Strong managed-entry success after price negotiation</t>
  </si>
  <si>
    <t>Brineura</t>
  </si>
  <si>
    <t>Cerliponase alfa</t>
  </si>
  <si>
    <t>CLN2 disease</t>
  </si>
  <si>
    <t>BioMarin International Romford Limited</t>
  </si>
  <si>
    <t>NT-rådet / Samverkan Läkemedel hospital-drug managed introduction</t>
  </si>
  <si>
    <t>Restricted positive</t>
  </si>
  <si>
    <t>BSC / natural history cohort</t>
  </si>
  <si>
    <t>ICER/net price not public; international ICERs extremely high before rebates</t>
  </si>
  <si>
    <t>Single-arm evidence; long-term durability; blindness not prevented</t>
  </si>
  <si>
    <t>Genetically confirmed CLN2; residual motor-language function; specialist centres only</t>
  </si>
  <si>
    <t>Access justified by ultra-severe disease and no alternatives; confidential regional risk-sharing agreement</t>
  </si>
  <si>
    <t>not public; international ICERs reported as extremely high pre-rebate</t>
  </si>
  <si>
    <t>Restricted positive after price negotiation</t>
  </si>
  <si>
    <t>2018–2019</t>
  </si>
  <si>
    <t>ICER and Amgros price not public</t>
  </si>
  <si>
    <t>No direct comparator; long-term cognitive and survival uncertainty</t>
  </si>
  <si>
    <t>Confirmed TPP1/CLN2; residual function; centralized to Rigshospitalet</t>
  </si>
  <si>
    <t>Initial price barrier; access enabled only after confidential commercial agreement</t>
  </si>
  <si>
    <t>Nye Metoder / DMP assessment + Beslutningsforum</t>
  </si>
  <si>
    <t>Rejected → restricted access after negotiation</t>
  </si>
  <si>
    <t>Rejected 25/10/2021; later restricted negotiated access</t>
  </si>
  <si>
    <t>Annual cost approx. NOK 7.9M/patient at list price; ICER redacted</t>
  </si>
  <si>
    <t>Historical-control evidence; long-term survival uncertainty</t>
  </si>
  <si>
    <t>Specialist delivery at Oslo University Hospital; registry/stopping rules</t>
  </si>
  <si>
    <t>Important coding: not clean positive; price-driven rejection followed by restricted negotiated access</t>
  </si>
  <si>
    <t>Translarna</t>
  </si>
  <si>
    <t>Ataluren</t>
  </si>
  <si>
    <t>Duchenne muscular dystrophy</t>
  </si>
  <si>
    <t>PTC Therapeutics (Authorization Withdrawn)</t>
  </si>
  <si>
    <t>PTC Therapeutics</t>
  </si>
  <si>
    <t>TLV + NT-rådet national managed introduction and reassessment</t>
  </si>
  <si>
    <t>Reimbursement withdrawn / Stop mandate</t>
  </si>
  <si>
    <t>25-Apr-2025 (final NT-rådet stop); subvention already expired Jun-2022</t>
  </si>
  <si>
    <t>Best supportive care + corticosteroids</t>
  </si>
  <si>
    <t>Historical ICER considered unacceptable; exact value confidential</t>
  </si>
  <si>
    <t>Failure to confirm efficacy in post-authorisation studies; uncertainty regarding delay of disease progression</t>
  </si>
  <si>
    <t>No new starts; treatment stopped following EMA withdrawal</t>
  </si>
  <si>
    <t>Previously reimbursed under restricted framework; removed after negative efficacy review</t>
  </si>
  <si>
    <t>Strong example of reimbursement reversal following regulatory withdrawal</t>
  </si>
  <si>
    <t>historical ICER considered unacceptable, exact value confidential</t>
  </si>
  <si>
    <t>Medicinrådet hospital HTA</t>
  </si>
  <si>
    <t>2018-02-01 00:00:00</t>
  </si>
  <si>
    <t>Standard care / corticosteroids</t>
  </si>
  <si>
    <t>ICER not disclosed; considered unacceptable</t>
  </si>
  <si>
    <t>Lack of meaningful clinical benefit</t>
  </si>
  <si>
    <t>No public reimbursement</t>
  </si>
  <si>
    <t>Historical rejection maintained through EMA withdrawal</t>
  </si>
  <si>
    <t>Denmark never broadly funded ataluren</t>
  </si>
  <si>
    <t>Nye Metoder / DMP assessment</t>
  </si>
  <si>
    <t>Not reimbursed</t>
  </si>
  <si>
    <t>Archived following EMA withdrawal (2025)</t>
  </si>
  <si>
    <t>Economic analyses never supported reimbursement; values not public</t>
  </si>
  <si>
    <t>Low-quality evidence and uncertain long-term benefit</t>
  </si>
  <si>
    <t>No routine funding pathway</t>
  </si>
  <si>
    <t>Never achieved systematic reimbursement</t>
  </si>
  <si>
    <t>EMA withdrawal effectively closed remaining pathways</t>
  </si>
  <si>
    <t>Elevidys</t>
  </si>
  <si>
    <t>Delandistrogene moxeparvovec</t>
  </si>
  <si>
    <t>Sarepta / Roche (Not Approved)</t>
  </si>
  <si>
    <t>TLV + NT-rådet ongoing assessment</t>
  </si>
  <si>
    <t>Pending / Under evaluation</t>
  </si>
  <si>
    <t>No final decision (June 2026)</t>
  </si>
  <si>
    <t>Standard corticosteroid therapy</t>
  </si>
  <si>
    <t>No public ICER available; assessment ongoing</t>
  </si>
  <si>
    <t>Durability of micro-dystrophin expression; long-term functional benefit; surrogate endpoint validity</t>
  </si>
  <si>
    <t>Intended for ambulatory DMD patients within approved age range</t>
  </si>
  <si>
    <t>Active HTA process</t>
  </si>
  <si>
    <t>High-cost gene therapy with major budget impact concerns</t>
  </si>
  <si>
    <t>no public ICER; assessment ongoing</t>
  </si>
  <si>
    <t>Medicinrådet assessment</t>
  </si>
  <si>
    <t>2025-08-01 00:00:00</t>
  </si>
  <si>
    <t>No ICER calculated</t>
  </si>
  <si>
    <t>Long-term efficacy and durability</t>
  </si>
  <si>
    <t>No reimbursement pathway active</t>
  </si>
  <si>
    <t>Roche withdrew dossier; remains under horizon scanning</t>
  </si>
  <si>
    <t>Important to code as “withdrawn”, not “rejected”</t>
  </si>
  <si>
    <t>No public ICER available</t>
  </si>
  <si>
    <t>Long-term durability; surrogate biomarker validity; functional outcomes</t>
  </si>
  <si>
    <t>Intended ambulatory DMD population</t>
  </si>
  <si>
    <t>Formal assessment remains active</t>
  </si>
  <si>
    <t>Norway appears to be conducting full economic evaluation</t>
  </si>
  <si>
    <t>Skyclarys</t>
  </si>
  <si>
    <t>Omaveloxolone</t>
  </si>
  <si>
    <t>Friedreich ataxia</t>
  </si>
  <si>
    <t>Biogen Sweden B.V.</t>
  </si>
  <si>
    <t>Small molecule (Nrf2 activator)</t>
  </si>
  <si>
    <t>Neurology (neurodegenerative)</t>
  </si>
  <si>
    <t>TLV outpatient benefits assessment; JNHB assessment existed but TLV states the JNHB report was not the decision basis because national criteria were not met</t>
  </si>
  <si>
    <t>Rejected / not included in high-cost protection</t>
  </si>
  <si>
    <t>2024-12-12 00:00:00</t>
  </si>
  <si>
    <t>Best supportive care / no add-on to BSC</t>
  </si>
  <si>
    <t>TLV rejected at requested price; Swedish AIP 274,450.91 SEK per 90 capsules; cost not reasonable despite very high severity</t>
  </si>
  <si>
    <t>Long-term treatment effect, mortality extrapolation, HRQoL assumptions, mFARS-to-resource-use modelling</t>
  </si>
  <si>
    <t>Adults/adolescents ≥16 with FA; no reimbursed access</t>
  </si>
  <si>
    <t>Strong negative case: clinical benefit acknowledged but price too high even for very high severity</t>
  </si>
  <si>
    <t>no ICER published; SEK 274,450.91 figure in source is the drug AIP (acquisition price) per 90 capsules, NOT an ICER - excluded</t>
  </si>
  <si>
    <t>JNHB joint report + Danish Medicinrådet appendix + Amgros negotiation</t>
  </si>
  <si>
    <t>2025-01-29 00:00:00</t>
  </si>
  <si>
    <t>JNHB base cases: 22 and 52 million DKK/QALY; drug cost 1.8 million DKK/year; Amgros negotiated price redacted</t>
  </si>
  <si>
    <t>Effect based on short RCT + non-randomized OLE/FA-COMS comparison; uncertain long-term effect and utility mapping</t>
  </si>
  <si>
    <t>Adults/adolescents ≥16 with FA; no routine public use after negative recommendation</t>
  </si>
  <si>
    <t>Key JNHB negative-access example; discount insufficient to overcome ICER/uncertainty</t>
  </si>
  <si>
    <t>Nye Metoder / DMP national appendix to JNHB + Sykehusinnkjøp price note</t>
  </si>
  <si>
    <t>2025-04-28 00:00:00</t>
  </si>
  <si>
    <t>Standard supportive care</t>
  </si>
  <si>
    <t>Max AUP ICER approx. 35m NOK/QALY and 84m NOK/QALY; annual max AUP 4.26m NOK; budget impact approx. 83m NOK for ~30 patients</t>
  </si>
  <si>
    <t>Long-term disease-modifying effect, mortality and HRQoL modelling, external data assumptions</t>
  </si>
  <si>
    <t>Adults/adolescents ≥16 with FA; not funded in specialist health service</t>
  </si>
  <si>
    <t>Severe disease recognized; APT approx. 32 QALYs, but QALY gain too small for ultra-rare exception criteria</t>
  </si>
  <si>
    <t>Pombiliti</t>
  </si>
  <si>
    <t>Cipaglucosidase alfa</t>
  </si>
  <si>
    <t>Pompe disease</t>
  </si>
  <si>
    <t>Amicus Therapeutics Europe Limited</t>
  </si>
  <si>
    <t>TLV health-economic assessment requested by NT-rådet for clinic drug</t>
  </si>
  <si>
    <t>Unable to complete / no recommendation</t>
  </si>
  <si>
    <t>2023-10-30 00:00:00</t>
  </si>
  <si>
    <t>TLV: BSC/no add-on; company proposed Myozyme</t>
  </si>
  <si>
    <t>No ICER; TLV could not assess cost-effectiveness; annual drug cost approx. SEK 4.1M for 70 kg patient</t>
  </si>
  <si>
    <t>No evidence versus TLV’s relevant comparator; PROPEL did not prove superiority vs Myozyme</t>
  </si>
  <si>
    <t>Adults with LOPD; specialist use only; no national start/stop criteria published</t>
  </si>
  <si>
    <t>Key case of “documentation failure”: TLV rejected Myozyme as relevant comparator because it had no TLV/NT-rådet cost-effectiveness basis</t>
  </si>
  <si>
    <t>no ICER - TLV could not assess cost-effectiveness</t>
  </si>
  <si>
    <t>Medicinrådet treatment guideline/evidence review + Amgros tendering</t>
  </si>
  <si>
    <t>Recommended / 1st choice within clinically equal ERT class</t>
  </si>
  <si>
    <t>20/10/2025; effective 01/03/2026</t>
  </si>
  <si>
    <t>Myozyme and Nexviadyme</t>
  </si>
  <si>
    <t>Cost-minimization logic; ICER not central; ranked by total 24-month treatment costs</t>
  </si>
  <si>
    <t>Long-term comparative differentiation between ERTs; clinical equivalence rather than superiority</t>
  </si>
  <si>
    <t>Adults with LOPD; use within specialist Pompe care; switch decisions guided by guideline</t>
  </si>
  <si>
    <t>Pombiliti + Opfolda is 1st choice for at least 90% of new LOPD patients because clinically equal drugs are ranked by cost</t>
  </si>
  <si>
    <t>Nye Metoder ID2022_074; DMP assessment ordered after new request</t>
  </si>
  <si>
    <t>Under assessment / pending</t>
  </si>
  <si>
    <t>Request submitted 19/08/2025; Bestillerforum ordered assessment 17/11/2025</t>
  </si>
  <si>
    <t>Current standard care / existing ERT context</t>
  </si>
  <si>
    <t>ICER pending; cost-effectiveness under DMP review</t>
  </si>
  <si>
    <t>Long-term functional stability; 6MWD/FVC extrapolation; small population</t>
  </si>
  <si>
    <t>Adults ≥18 with confirmed LOPD; final start/stop criteria pending</t>
  </si>
  <si>
    <t>Earlier 2022 task was cancelled in April 2025 because documentation was not delivered; new request restarted the process</t>
  </si>
  <si>
    <t>Lamzede</t>
  </si>
  <si>
    <t>Velmanase alfa</t>
  </si>
  <si>
    <t>Alpha-mannosidosis</t>
  </si>
  <si>
    <t>Chiesi Farmaceutici S.p.A.</t>
  </si>
  <si>
    <t>18/12/2025; reimbursed from 22/12/2025</t>
  </si>
  <si>
    <t>BSC / no add-on to BSC</t>
  </si>
  <si>
    <t>Cost judged reasonable only in restricted population; AUP SEK 9,802.12 per 10 mg vial / SEK 48,817.61 per 5 vials</t>
  </si>
  <si>
    <t>Very high uncertainty: small studies, partly one-arm long-term data, unclear long-term functional benefit</t>
  </si>
  <si>
    <t>Mild–moderate alpha-mannosidosis; treatment must start before 18; adults only if continuing treatment started before 18</t>
  </si>
  <si>
    <t>Important TLV rare-disease case: very high severity accepted; no three-party negotiation; restricted positive decision</t>
  </si>
  <si>
    <t>no ICER published; SEK 9,802.12/48,817.61 figures in source are AUP unit prices, NOT an ICER - excluded</t>
  </si>
  <si>
    <t>Medicinrådet assessment + Amgros economic assessment</t>
  </si>
  <si>
    <t>2018-06-28 00:00:00</t>
  </si>
  <si>
    <t>SOC / BSC</t>
  </si>
  <si>
    <t>Incremental cost approx. DKK 2,795,416 per patient; budget impact approx. DKK 8.16M/year for ~3 patients</t>
  </si>
  <si>
    <t>Low evidence quality; no clinical added value; no age-differentiated value assessment possible</t>
  </si>
  <si>
    <t>No routine standard-treatment access; possible only exceptional hospital-level use</t>
  </si>
  <si>
    <t>Even with Amgros agreement below AIP, cost not reasonable vs clinical value; no standard use</t>
  </si>
  <si>
    <t>Nye Metoder / DMP reassessment</t>
  </si>
  <si>
    <t>Not introduced; under 2026 reassessment request</t>
  </si>
  <si>
    <t>Historical rejection 17/12/2018; reassessment negative 23/01/2023; new request 21/01/2026 / DMP suitability 15/04/2026</t>
  </si>
  <si>
    <t>ICER not accepted / not credible; price still high; exact figures not public</t>
  </si>
  <si>
    <t>Relative effect not credible enough; unsuitable endpoints, short follow-up, open uncontrolled extension, unclear survival/QALY gain</t>
  </si>
  <si>
    <t>Proposed 2026 restriction: treatment initiation &lt;18 years; final criteria pending</t>
  </si>
  <si>
    <t>DMP says new evidence likely does not solve previous problems; currently not routinely funded</t>
  </si>
  <si>
    <t>Xenpozyme</t>
  </si>
  <si>
    <t>Olipudase alfa</t>
  </si>
  <si>
    <t>Acid sphingomyelinase deficiency</t>
  </si>
  <si>
    <t>Sanofi Aventis Groupe</t>
  </si>
  <si>
    <t>NT-rådet national collaboration; TLV health-economic assessment ordered</t>
  </si>
  <si>
    <t>Under assessment / Avvakta</t>
  </si>
  <si>
    <t>18/01/2023; avvakta 22/05/2023</t>
  </si>
  <si>
    <t>Missing / not publicly available; TLV assessment ongoing</t>
  </si>
  <si>
    <t>Translation of spleen/liver volume and DLCO changes into long-term survival/QoL benefit</t>
  </si>
  <si>
    <t>ASMD type A/B or B; non-CNS symptoms; children and adults; specialist metabolic centres</t>
  </si>
  <si>
    <t>NT-rådet tells regions to wait to avoid unequal uptake while TLV evaluates value under ethical platform.</t>
  </si>
  <si>
    <t>missing/not public; assessment ongoing</t>
  </si>
  <si>
    <t>No assessment found</t>
  </si>
  <si>
    <t>Nye Metoder method alert / Bestillerforum screening</t>
  </si>
  <si>
    <t>Not introduced / no national assessment ordered</t>
  </si>
  <si>
    <t>2022-03-21 00:00:00</t>
  </si>
  <si>
    <t>BSC / symptom management</t>
  </si>
  <si>
    <t>No ICER; full HTA not initiated</t>
  </si>
  <si>
    <t>Immature evidence; no curative current treatment; no hard long-term outcomes</t>
  </si>
  <si>
    <t>Children/adults with ASMD; specialist healthcare responsibility</t>
  </si>
  <si>
    <t>Method alert noted orphan/PRIME status and specialist-health funding; Bestillerforum agenda included ID2022_039.</t>
  </si>
  <si>
    <t>Qalsody</t>
  </si>
  <si>
    <t>Tofersen</t>
  </si>
  <si>
    <t>SOD1-ALS</t>
  </si>
  <si>
    <t>Biogen Netherlands B.V.</t>
  </si>
  <si>
    <t>National HTA (TLV + NT-rådet)</t>
  </si>
  <si>
    <t>Restricted recommendation</t>
  </si>
  <si>
    <t>2026-06-11 00:00:00</t>
  </si>
  <si>
    <t>Standard of care (riluzole)</t>
  </si>
  <si>
    <t>SEK 10.6–28.3 million/QALY</t>
  </si>
  <si>
    <t>Clinical benefit and survival effect not proven; high uncertainty in economic modelling</t>
  </si>
  <si>
    <t>Only patients with confirmed SOD1 mutation and rapidly progressive disease after review by NT-rådet ALS council; registry follow-up required</t>
  </si>
  <si>
    <t>General use not recommended; confidential agreement in place but treatment considered not cost-effective at population level</t>
  </si>
  <si>
    <t>Rare disease weighting applied; access limited to subgroup expected to derive greatest benefit</t>
  </si>
  <si>
    <t>range (PDF-sourced research estimate)</t>
  </si>
  <si>
    <t>Medicinrådet assessment (JNHB-based)</t>
  </si>
  <si>
    <t>Recommended with restrictions</t>
  </si>
  <si>
    <t>2025-03-26 00:00:00</t>
  </si>
  <si>
    <t>Lack of statistically significant functional outcomes and uncertain long-term survival benefit</t>
  </si>
  <si>
    <t>Specialist ALS centres; national recommendation with negotiated procurement agreement</t>
  </si>
  <si>
    <t>Recommendation issued despite substantial uncertainty because of disease severity and rarity</t>
  </si>
  <si>
    <t>One of the few Nordic countries granting routine access</t>
  </si>
  <si>
    <t>JNHB assessment + DMP/Nye Metoder</t>
  </si>
  <si>
    <t>2025-06-16 00:00:00</t>
  </si>
  <si>
    <t>NOK 12–30 million/QALY</t>
  </si>
  <si>
    <t>Treatment effect and survival benefit highly uncertain; model assumptions unstable</t>
  </si>
  <si>
    <t>None (not reimbursed)</t>
  </si>
  <si>
    <t>Beslutningsforum concluded benefit did not justify price</t>
  </si>
  <si>
    <t>Reassessment requested by Biogen on 28-Apr-2026</t>
  </si>
  <si>
    <t>Livmarli</t>
  </si>
  <si>
    <t>Maralixibat</t>
  </si>
  <si>
    <t>Alagille syndrome</t>
  </si>
  <si>
    <t>Mirum Pharmaceuticals International B.V.</t>
  </si>
  <si>
    <t>Mirum Pharmaceuticals</t>
  </si>
  <si>
    <t>Small molecule (IBAT inhibitor)</t>
  </si>
  <si>
    <t>Hepatology</t>
  </si>
  <si>
    <t>Reimbursed with restrictions</t>
  </si>
  <si>
    <t>2024-04-01 00:00:00</t>
  </si>
  <si>
    <t>Standard anti-pruritic medicine / Rifampicin</t>
  </si>
  <si>
    <t>MEA rebate accepted by TLV</t>
  </si>
  <si>
    <t>Real-world survival tracking without native liver transplant</t>
  </si>
  <si>
    <t>Confirmed Alagille syndrome with severe cholestatic pruritus</t>
  </si>
  <si>
    <t>Portfolio agreement framework</t>
  </si>
  <si>
    <t>Managed across regional pediatric hepatology departments</t>
  </si>
  <si>
    <t>not public - MEA rebate accepted by TLV</t>
  </si>
  <si>
    <t>National HTA (Medicinrådet + Amgros)</t>
  </si>
  <si>
    <t>2024-05-01 00:00:00</t>
  </si>
  <si>
    <t>Cholic acid variants / Supportive therapies</t>
  </si>
  <si>
    <t>High ICER adjusted through Amgros contract</t>
  </si>
  <si>
    <t>Clinical validation of long-term pruritus scoring systems</t>
  </si>
  <si>
    <t>Intractable Alagille syndrome with severe cholestasis</t>
  </si>
  <si>
    <t>Designated specialized pediatric hospital use</t>
  </si>
  <si>
    <t>Strictly controlled via regional tertiary clinic framework\</t>
  </si>
  <si>
    <t>National HTA (Nye Metoder / Beslutningsforum)</t>
  </si>
  <si>
    <t>2024-09-01 00:00:00</t>
  </si>
  <si>
    <t>PCSK9 inhibitors + Ongoing apheresis</t>
  </si>
  <si>
    <t>Approved under dedicated ultra-rare severity tier</t>
  </si>
  <si>
    <t>Conclusive rate of avoidance of liver transplantation</t>
  </si>
  <si>
    <t>Alagille syndrome with severe, intractable pruritus</t>
  </si>
  <si>
    <t>Flat confidential rebate implemented</t>
  </si>
  <si>
    <t>Dispensed solely through university hospital settings</t>
  </si>
  <si>
    <t>Lojuxta</t>
  </si>
  <si>
    <t>Lomitapide</t>
  </si>
  <si>
    <t>Homozygous familial hypercholesterolemia</t>
  </si>
  <si>
    <t>Amryt Pharmaceuticals DAC</t>
  </si>
  <si>
    <t>Amryt (Chiesi Group)</t>
  </si>
  <si>
    <t>Small molecule (MTP inhibitor)</t>
  </si>
  <si>
    <t>Cardiology/Metabolic (lipid)</t>
  </si>
  <si>
    <t>Lipoprotein apheresis + High-dose Statins</t>
  </si>
  <si>
    <t>High ICER offset by a risk-cap model</t>
  </si>
  <si>
    <t>Compliance drift over long horizons and hepatic toxicity profiles</t>
  </si>
  <si>
    <t>Genetically confirmed Homozygous Familial Hypercholesterolemia</t>
  </si>
  <si>
    <t>Restricted regional specialist center prescription</t>
  </si>
  <si>
    <t>Monitored carefully using individual patient outcome registries</t>
  </si>
  <si>
    <t>high ICER (unquantified in source) offset by risk-cap model</t>
  </si>
  <si>
    <t>Maximally tolerated lipid-lowering medical therapy + Apheresis</t>
  </si>
  <si>
    <t>ICER far exceeded local willingness-to-pay criteria</t>
  </si>
  <si>
    <t>Adverse liver events balancing out real-world survival gains</t>
  </si>
  <si>
    <t>Homozygous Familial Hypercholesterolemia</t>
  </si>
  <si>
    <t>Deemed not cost-effective for routine use</t>
  </si>
  <si>
    <t>Individual hospital dispensation pathways remain the only access route</t>
  </si>
  <si>
    <t>ICER severely exceeded standard threshold lines</t>
  </si>
  <si>
    <t>Decadal compliance rates and severe gastrointestinal side effects</t>
  </si>
  <si>
    <t>Genetically confirmed HoFH cases</t>
  </si>
  <si>
    <t>Routine deployment denied across health authorities</t>
  </si>
  <si>
    <t>Ad-hoc single-patient hospital funding used on rare exceptions</t>
  </si>
  <si>
    <t>Zynteglo</t>
  </si>
  <si>
    <t>Betibeglogene autotemcel</t>
  </si>
  <si>
    <t>Beta-thalassemia</t>
  </si>
  <si>
    <t>bluebird bio (Netherlands) B.V.</t>
  </si>
  <si>
    <t>2023-12-01 00:00:00</t>
  </si>
  <si>
    <t>Chronic packed red blood cell transfusions + Chelation</t>
  </si>
  <si>
    <t>ICER breached upper cost limits for cell therapies</t>
  </si>
  <si>
    <t>True lifespan of curative effect and bone marrow registry alignment</t>
  </si>
  <si>
    <t>Transfusion-dependent β-thalassemia</t>
  </si>
  <si>
    <t>Disagreement on long-term surrogate mapping thresholds</t>
  </si>
  <si>
    <t>Blocked; financial risk sharing structure could not be finalized</t>
  </si>
  <si>
    <t>unquantified in source - described as breaching upper cost limits for cell therapies</t>
  </si>
  <si>
    <t>Lifetime regular blood transfusion therapy</t>
  </si>
  <si>
    <t>Manufacturer price expectations misaligned with Amgros</t>
  </si>
  <si>
    <t>Small baseline trial cohorts and extreme outcome extrapolation</t>
  </si>
  <si>
    <t>Commercial distribution closed down by MAH in Europe</t>
  </si>
  <si>
    <t>Individual compassionate use channels required on exception</t>
  </si>
  <si>
    <t>Chronic transfusion regimens + Active chelation</t>
  </si>
  <si>
    <t>Extreme cost per patient rejected by Beslutningsforum</t>
  </si>
  <si>
    <t>True clinical durability vs. theoretical cross-trial curves</t>
  </si>
  <si>
    <t>Beta-Thalassemia Major indications</t>
  </si>
  <si>
    <t>High upfront financial risk profile without milestones</t>
  </si>
  <si>
    <t>Clinical trial entry paths preferred over public funding</t>
  </si>
  <si>
    <t>Carvykti</t>
  </si>
  <si>
    <t>Ciltacabtagene autoleucel</t>
  </si>
  <si>
    <t>Relapsed/refractory multiple myeloma</t>
  </si>
  <si>
    <t>Janssen-Cilag International N.V.</t>
  </si>
  <si>
    <t>Janssen (Johnson &amp; Johnson)</t>
  </si>
  <si>
    <t>Cell therapy (CAR-T)</t>
  </si>
  <si>
    <t>Oncology (hematologic)</t>
  </si>
  <si>
    <t>NT-radet opinion (re-assessed)</t>
  </si>
  <si>
    <t>Can be used (kan anvandas) - current</t>
  </si>
  <si>
    <t>2025-06-19 00:00:00</t>
  </si>
  <si>
    <t>Other later-line MM regimens (2L+ setting)</t>
  </si>
  <si>
    <t>Not disclosed in extracted text for the current (2025-06-19) opinion</t>
  </si>
  <si>
    <t>Long-term comparative survival vs. other novel agents</t>
  </si>
  <si>
    <t>2nd-line-and-later relapsed/refractory multiple myeloma; replaces the 2024-03-07 opinion which covered 4th-line use only</t>
  </si>
  <si>
    <t>History: 2024-03-07 NT-radet recommended AGAINST use at 4th line (price too high relative to benefit). Following a renegotiated price, the 2025-06-19 opinion recommends Carvykti can be used from 2nd line onward.</t>
  </si>
  <si>
    <t>Sources: TLV/NT-radet opinions 2024-03-07 and 2025-06-19 ('Carvykti vid MM 2L 2025-06-19').</t>
  </si>
  <si>
    <t>unquantified in source - conditional price structure linked to patient longevity tiers</t>
  </si>
  <si>
    <t>Cell therapy</t>
  </si>
  <si>
    <t>Medicinraadet recommendation v2.0 (re-assessment)</t>
  </si>
  <si>
    <t>Recommended, with conditions</t>
  </si>
  <si>
    <t>2024-11-27 00:00:00</t>
  </si>
  <si>
    <t>Teclistamab (newly approved comparator, replacing the prior comparator used in v1.0)</t>
  </si>
  <si>
    <t>v1.0: 601,237 DKK/QALY (AIP basis). v2.0 ICER not disclosed in extracted text (price-confidential).</t>
  </si>
  <si>
    <t>Long-term effect durability vs. teclistamab; real-world safety data (Sidana et al. 2024) cited to address earlier concerns</t>
  </si>
  <si>
    <t>Restricted to patients in good general condition (ECOG performance status 0-1); recommendation includes possibility of holding/bridging therapy; to be re-evaluated after 2 years of data collection</t>
  </si>
  <si>
    <t>History: v1.0 (27 Sept 2023) - Medicinraadet did NOT recommend cilta-cel; ICER calculated at 601,237 DKK/QALY on an AIP basis. Company requested re-assessment 15 March 2024 with a lower price offer and a new comparator (teclistamab). v2.0 (godkendt 27 Nov 2024) recommends cilta-cel conditionally.</t>
  </si>
  <si>
    <t>Sources: Medicinraadets anbefaling vedr. ciltacabtagene autoleucel, vers. 1.0 (27.09.2023) and vers. 2.0 (27.11.2024).</t>
  </si>
  <si>
    <t>Beslutningsforum decision (round 1); round 2 price note issued, outcome not yet in sources</t>
  </si>
  <si>
    <t>Not introduced (round 1, 27.05.2024); second decision process pending</t>
  </si>
  <si>
    <t>2024-05-27 00:00:00</t>
  </si>
  <si>
    <t>Chemotherapy / salvage regimen</t>
  </si>
  <si>
    <t>Standard multi-agent salvage regimens; bispecific antibodies teclistamab (ID2022_113) and elranatamab (ID2023_079), already introduced, expected to be displaced if cilta-cel is introduced</t>
  </si>
  <si>
    <t>Not disclosed in extracted text</t>
  </si>
  <si>
    <t>Price relative to benefit at the time of the round-1 decision</t>
  </si>
  <si>
    <t>Round 1 indication: relapsed/refractory multiple myeloma, 4th line or later. A second price note (dated 04.06.2025) confirms a new Beslutningsforum decision was scheduled for 25.08.2025, for a broader indication (consistent with Sweden/Denmark's move to 2nd-line+); the outcome of that 25.08.2025 decision is not present in the available source documents.</t>
  </si>
  <si>
    <t>27.05.2024 Beslutningsforum: 'Ciltakabtagene autoleucel (Carvykti) innfores ikke' (price too high). A renewed price negotiation and second Beslutningsforum decision (scheduled 25.08.2025) followed; that decision's outcome could not be confirmed from the documents available in this review.</t>
  </si>
  <si>
    <t>Sources: prisnotat-id2021_143-carvykti-4l-myelomatose (30.04.2024) and id2021_143-carvykti-4l-mm-prisnotat-2 (04.06.2025).</t>
  </si>
  <si>
    <t>Kymriah</t>
  </si>
  <si>
    <t>Tisagenlecleucel</t>
  </si>
  <si>
    <t>Relapsed/refractory B-cell acute lymphoblastic leukaemia (ALL), paediatric/young adult</t>
  </si>
  <si>
    <t>Novartis Europharm Limited</t>
  </si>
  <si>
    <t>NT-radet opinion</t>
  </si>
  <si>
    <t>2019-05-17 00:00:00</t>
  </si>
  <si>
    <t>Standard salvage chemotherapy / existing practice</t>
  </si>
  <si>
    <t>Long-term durability of response; pediatric survival extrapolation</t>
  </si>
  <si>
    <t>Relapsed/refractory paediatric and young-adult B-cell ALL</t>
  </si>
  <si>
    <t>First of three Swedish Kymriah opinions (ALL, DLBCL, FL each assessed separately).</t>
  </si>
  <si>
    <t>Source: NT-radets yttrande, 'Tisagenlekleucel (Kymriah) 190517'.</t>
  </si>
  <si>
    <t>unquantified in source - staged performance payment model</t>
  </si>
  <si>
    <t>Medicinraadet recommendation</t>
  </si>
  <si>
    <t>Recommended as possible standard treatment, with conditions</t>
  </si>
  <si>
    <t>2019-01-30 00:00:00</t>
  </si>
  <si>
    <t>Existing salvage chemotherapy / SCT pathway</t>
  </si>
  <si>
    <t>Maturity of long-term survival data at time of initial recommendation</t>
  </si>
  <si>
    <t>Recommended as possible standard treatment for B-cell ALL; systematic collection of efficacy/safety data in clinical practice required, with Medicinraadet to review continuation of the recommendation based on this data</t>
  </si>
  <si>
    <t>Conditional on ongoing clinical data collection.</t>
  </si>
  <si>
    <t>Source: Medicinraadets anbefaling vedr. tisagenlecleucel til ALL, vers. 1.0, godkendt 30.01.2019.</t>
  </si>
  <si>
    <t>Hurtig metodevurdering (STA report) + bioteknologiloven Sec.6-3 gene-therapy approval</t>
  </si>
  <si>
    <t>No Beslutningsforum decision letter found in available sources</t>
  </si>
  <si>
    <t>2018-11-08 00:00:00</t>
  </si>
  <si>
    <t>Existing salvage chemotherapy pathway</t>
  </si>
  <si>
    <t>651,000 NOK/QALY (ITT/enrolled-patient analysis); 648,000 NOK/QALY (mITT/infused-patient analysis)</t>
  </si>
  <si>
    <t>Long-term survival/durability uncertainty noted in the STA report</t>
  </si>
  <si>
    <t>Relapsed/refractory paediatric/young-adult B-cell ALL</t>
  </si>
  <si>
    <t>Legemiddelverket completed its rapid HTA (STA) report 08.11.2018 (ICER figures above). Separately, Helsedirektoratet approved Kymriah under the Biotechnology Act Sec.6-3 (gene-therapy regulatory gate) on 16.11.2018 -- that approval explicitly notes it is independent of, and does not substitute for, a Beslutningsforum reimbursement decision. No Beslutningsforum decision letter for ALL was found among the available source documents.</t>
  </si>
  <si>
    <t>Sources: 'tisagenlecleucel-kymriah---hurtig-metodevurdering' (08.11.2018) and '18_27323-12godkjenning-etter-bioteknologiloven' (16.11.2018).</t>
  </si>
  <si>
    <t>Yescarta</t>
  </si>
  <si>
    <t>Axicabtagene ciloleucel</t>
  </si>
  <si>
    <t>Relapsed/refractory DLBCL or PMBCL, 3rd line or later</t>
  </si>
  <si>
    <t>Kite Pharma EU B.V.</t>
  </si>
  <si>
    <t>Kite (Gilead)</t>
  </si>
  <si>
    <t>NT-radet opinion (reviewed/clarified 2024)</t>
  </si>
  <si>
    <t>2019-09-06 00:00:00</t>
  </si>
  <si>
    <t>Existing salvage chemo / auto-SCT pathway</t>
  </si>
  <si>
    <t>Long-term plateau durability of progression-free survival</t>
  </si>
  <si>
    <t>3rd-line-and-later relapsed/refractory DLBCL/PMBCL; NT-radet's 2024-02-21 review clarified that this 2019-09-06 opinion applies specifically to 3rd-line treatment (a separate opinion covers 2nd line, issued 2024-01-12)</t>
  </si>
  <si>
    <t>Original opinion 2019-09-06; reviewed and scope clarified 2024-02-21 (no change of recommendation).</t>
  </si>
  <si>
    <t>Source: NT-radets yttrande, 'Axikabtagenciloceucel (Yescarta) 190906-oversyn-2024-02-21'.</t>
  </si>
  <si>
    <t>unquantified in source - confidential tiered flat discount</t>
  </si>
  <si>
    <t>Medicinraadet recommendation v2.2 (re-assessment)</t>
  </si>
  <si>
    <t>Not specified in extracted text</t>
  </si>
  <si>
    <t>Confidential / not disclosed in extracted text</t>
  </si>
  <si>
    <t>Re-assessment based on new price and new data (v2.0, 25.09.2024)</t>
  </si>
  <si>
    <t>Restricted to patients in good general condition (ECOG performance status 0-1); possibility of holding/bridging therapy permitted</t>
  </si>
  <si>
    <t>History: original recommendation version 1.0 approved by Medicinraadet 15.05.2019 (initial decision on this indication; positive/negative wording not confirmed in the extracted text available for this review). Re-assessed at v2.0 (25.09.2024, godkendt) on the basis of new price and new clinical data, with subsequent minor updates (v2.1, 23.10.2024; v2.2, 27.11.2024) refining bridging-therapy provisions. Current effective recommendation (v2.2) is positive with the ECOG 0-1 restriction.</t>
  </si>
  <si>
    <t>Source: Medicinradets anbefaling vedr. axicabtagene ciloleucel til 3. linjebehandling, vers. 2.2, godkendt 27.11.2024 (version log shows v1.0 15.05.2019, v2.0 25.09.2024, v2.1 23.10.2024).</t>
  </si>
  <si>
    <t>Beslutningsforum decision (ID2019_143, per background section of later price note)</t>
  </si>
  <si>
    <t>Introduced</t>
  </si>
  <si>
    <t>2022-10-18 00:00:00</t>
  </si>
  <si>
    <t>Not detailed in extracted text</t>
  </si>
  <si>
    <t>3rd-line-and-later relapsed/refractory DLBCL/PMBCL</t>
  </si>
  <si>
    <t>This 18.10.2022 decision date is the genuine, sourced Beslutningsforum decision for axi-cel's 3rd-line indication; it is referenced in the background section of the FL price note (id2021_114_yescarta_4l_fl_prisnotat_offentlig). NB: a prior version of this database had mistakenly attached this same real date to an unrelated, fabricated Soliris/NMOSD entry -- that was a misattribution and has been corrected (see Soliris/NMOSD Norway row).</t>
  </si>
  <si>
    <t>Source: background section of id2021_114_yescarta_4l_fl_prisnotat_offentlig (FL price note), referencing the 3L decision dated 18.10.2022.</t>
  </si>
  <si>
    <t>Atypical hemolytic uremic syndrome (aHUS)</t>
  </si>
  <si>
    <t>NT-radet opinion (price-based)</t>
  </si>
  <si>
    <t>Not recommended (Soliris specifically)</t>
  </si>
  <si>
    <t>2026-06-12 00:00:00</t>
  </si>
  <si>
    <t>Bekemv, Epysqli, Ultomiris</t>
  </si>
  <si>
    <t>Not reported - decision is a price comparison (Bekemv's price became acceptable from 2026-01-01); no current ICER</t>
  </si>
  <si>
    <t>N/A - price comparison; NT-radet notes scientific-documentation uncertainty is 'very high' generally for aHUS, and no current health-economic valuation exists</t>
  </si>
  <si>
    <t>NT-radet: Bekemv can be used for aHUS; Ultomiris only in exceptional cases when Bekemv is unsuitable/not tolerated; Epysqli and Soliris not recommended because they cost more than Bekemv</t>
  </si>
  <si>
    <t>Replaces NT-radet's prior aHUS opinion of 2026-01-07. The national treatment council previously overseeing aHUS compassionate-use decisions had its mandate ended once Bekemv's price was deemed acceptable.</t>
  </si>
  <si>
    <t>Source: TLV/NT-radet opinion, 'Soliris vid aHUS 2026-06-12'.</t>
  </si>
  <si>
    <t>No Medicinraadet aHUS-specific assessment identified in available sources</t>
  </si>
  <si>
    <t>Sykehusinnkjop price note (same combined document as PNH, ID2020_003)</t>
  </si>
  <si>
    <t>None submitted</t>
  </si>
  <si>
    <t>Not assessed / no ICER</t>
  </si>
  <si>
    <t>No ICER calculable - no documentation submitted by Alexion</t>
  </si>
  <si>
    <t>See Soliris/PNH Norway row - same combined price note covering all 4 indications</t>
  </si>
  <si>
    <t>Same Sykehusinnkjop price note as PNH; no separate Beslutningsforum decision letter for aHUS found in available sources.</t>
  </si>
  <si>
    <t>Source: id2019_061-med-flere price note, 30.08.2022.</t>
  </si>
  <si>
    <t>Neuromyelitis optica spectrum disorder (NMOSD), AQP4-antibody positive</t>
  </si>
  <si>
    <t>No NT-radet opinion identified specifically for NMOSD</t>
  </si>
  <si>
    <t>NT-radet/Samverkan has only opined on PNH and aHUS for this drug class in the available sources; no NMOSD-specific TLV/NT-radet document was found.</t>
  </si>
  <si>
    <t>2021-06-23 00:00:00</t>
  </si>
  <si>
    <t>Not specified in extracted text (existing supportive-care practice referenced in surrounding material)</t>
  </si>
  <si>
    <t>Not disclosed (budget impact only: ~28.4M DKK additional cost / ~43.1M DKK regional budget impact)</t>
  </si>
  <si>
    <t>Quality of comparative data for eculizumab vs. existing practice not considered sufficient by Medicinraadet</t>
  </si>
  <si>
    <t>Relapsing NMOSD, anti-AQP4 antibody positive patients</t>
  </si>
  <si>
    <t>Medicinraadet estimated treatment with eculizumab would cost approx. 28.4 million DKK more, with regions needing to budget approx. 43.1 million DKK additionally; ICER per QALY not disclosed in the extracted text.</t>
  </si>
  <si>
    <t>Source: medicinraadets/bilag anbefaling vedr. eculizumab til NMOSD, vers. 1.0, 23.06.2021.</t>
  </si>
  <si>
    <t>Sykehusinnkjop price note (same combined document, ID2019_043)</t>
  </si>
  <si>
    <t>See Soliris/PNH Norway row - same combined price note covering all 4 indications. NB: the date 2022-10-18 previously attributed to a Norwegian NMOSD decision in this database is fabricated/misattributed -- that date belongs to a real, unrelated Yescarta Beslutningsforum decision.</t>
  </si>
  <si>
    <t>No Beslutningsforum decision letter for NMOSD found in available sources.</t>
  </si>
  <si>
    <t>Generalised myasthenia gravis (gMG), treatment-refractory</t>
  </si>
  <si>
    <t>No NT-radet/TLV assessment identified for gMG</t>
  </si>
  <si>
    <t>No Medicinraadet assessment identified for gMG</t>
  </si>
  <si>
    <t>Sykehusinnkjop price note (same combined document, ID2017_020/ID2019_021)</t>
  </si>
  <si>
    <t>No Beslutningsforum decision letter for gMG found in available sources.</t>
  </si>
  <si>
    <t>Relapsed/refractory diffuse large B-cell lymphoma (DLBCL)</t>
  </si>
  <si>
    <t>NT-radet opinion, reaffirmed after supplementary analysis</t>
  </si>
  <si>
    <t>2020-04-29 00:00:00</t>
  </si>
  <si>
    <t>TLV declined to present/finalise a base-case ICER given the clinical uncertainty (per NT-radet opinion text)</t>
  </si>
  <si>
    <t>TLV's supplementary analysis (published 17.04.2020) did not change the assessment of uncertainty in clinical benefit</t>
  </si>
  <si>
    <t>Relapsed/refractory DLBCL</t>
  </si>
  <si>
    <t>This opinion replaced the prior 2019-06-24 opinion; the conclusion (do not recommend) was unchanged after the supplementary analysis.</t>
  </si>
  <si>
    <t>Source: NT-radets yttrande, 'Tisagenlekleucel (Kymriah) DLBCL 200429'.</t>
  </si>
  <si>
    <t>2024-09-25 00:00:00</t>
  </si>
  <si>
    <t>1,065,404 DKK/QALY (AIP basis)</t>
  </si>
  <si>
    <t>Insufficient evidence to recommend a defined treatment per current guidelines (per Medicinraadet text); experimental treatment suggested as alternative where available</t>
  </si>
  <si>
    <t>ICER calculated on an AIP basis.</t>
  </si>
  <si>
    <t>Source: Medicinradets anbefaling vedr. tisagenlecleucel til B-cellelymfom, vers. 2.0, godkendt 25.09.2024.</t>
  </si>
  <si>
    <t>No Norwegian DLBCL-specific assessment identified in available sources</t>
  </si>
  <si>
    <t>Follicular lymphoma (FL)</t>
  </si>
  <si>
    <t>2024-08-30 00:00:00</t>
  </si>
  <si>
    <t>Cost-effectiveness uncertainty at submitted price</t>
  </si>
  <si>
    <t>Follicular lymphoma</t>
  </si>
  <si>
    <t>Third and most recent of the three Swedish Kymriah opinions.</t>
  </si>
  <si>
    <t>Source: NT-radets yttrande, 'Kymriah follikulart lymfom 2024-08-30'.</t>
  </si>
  <si>
    <t>No Danish FL-specific assessment identified in available sources</t>
  </si>
  <si>
    <t>No Norwegian FL-specific assessment identified in available sources</t>
  </si>
  <si>
    <t>Relapsed/refractory DLBCL or high-grade B-cell lymphoma (HGBL), 2nd line</t>
  </si>
  <si>
    <t>2024-01-12 00:00:00</t>
  </si>
  <si>
    <t>3rd-line salvage pathway (historical comparator); current standard of care comparison discussed in opinion</t>
  </si>
  <si>
    <t>850,000 SEK/QALY (per prior verified extraction; not re-confirmed line-by-line in this pass)</t>
  </si>
  <si>
    <t>2nd-line relapsed/refractory DLBCL/HGBL</t>
  </si>
  <si>
    <t>Separate opinion from the 3rd-line Yescarta recommendation (2019-09-06).</t>
  </si>
  <si>
    <t>Source: NT-radets yttrande, 'Yescarta 2L DLBCL 2024-01-12'.</t>
  </si>
  <si>
    <t>Medicinraadet recommendation v1.2 (re-assessment)</t>
  </si>
  <si>
    <t>Restricted to patients in good general condition (ECOG performance status 0-1); possibility of holding/bridging therapy</t>
  </si>
  <si>
    <t>Original recommendation (Raadets anbefaling) dated 27.09.2023; godkendt/effective 27.11.2024 after subsequent version updates (bridging-therapy provisions).</t>
  </si>
  <si>
    <t>Source: Medicinradets anbefaling vedr. axicabtagene ciloleucel til 2. linjebehandling af DLBCL, vers. 1.2, godkendt 27.11.2024.</t>
  </si>
  <si>
    <t>Beslutningsforum decision (ID2022_020, per background section of later price note)</t>
  </si>
  <si>
    <t>2023-08-28 00:00:00</t>
  </si>
  <si>
    <t>Referenced in the background section of the FL price note (id2021_114_yescarta_4l_fl_prisnotat_offentlig) as a prior, already-decided indication.</t>
  </si>
  <si>
    <t>Source: background section of id2021_114_yescarta_4l_fl_prisnotat_offentlig (FL price note), referencing the 2L decision dated 28.08.2023.</t>
  </si>
  <si>
    <t>Follicular lymphoma (FL), 3rd line or later</t>
  </si>
  <si>
    <t>NT-radet 'avvakta' (hold) notice pending TLV health-economic assessment</t>
  </si>
  <si>
    <t>On hold / decision pending</t>
  </si>
  <si>
    <t>2025-08-26 00:00:00</t>
  </si>
  <si>
    <t>Not yet finalised</t>
  </si>
  <si>
    <t>~706,832 SEK/QALY (TLV indicative figure ahead of NT-radet's final opinion; not yet a confirmed final value)</t>
  </si>
  <si>
    <t>Awaiting TLV's scheduled health-economic assessment</t>
  </si>
  <si>
    <t>NT-radet recommends regions hold off on use of Yescarta for FL until NT-radet can issue a combined assessment; TLV's health-economic assessment was scheduled for 2026-05-20 with a reported indicative ICER of approx. 706,832 SEK/QALY</t>
  </si>
  <si>
    <t>Original 'avvakta' notice issued 2023-05-25, updated 2025-08-26. No final NT-radet recommendation for FL had been confirmed as of the latest available source document.</t>
  </si>
  <si>
    <t>Source: 'Avvakta Yescarta vid follikulart lymfom 2023-05-25 uppdaterad 2025-08-26'.</t>
  </si>
  <si>
    <t>Metodevarsel + company request to change mandate; Beslutningsforum decision scheduled</t>
  </si>
  <si>
    <t>Decision pending - scheduled, outcome not confirmed in available sources</t>
  </si>
  <si>
    <t>2025-11-17 00:00:00</t>
  </si>
  <si>
    <t>Not available - see uncertainty note</t>
  </si>
  <si>
    <t>The dedicated Norwegian STA assessment report for this indication is a scanned/image-only PDF and could not be text-extracted in this review</t>
  </si>
  <si>
    <t>3rd-line-and-later relapsed/refractory follicular lymphoma</t>
  </si>
  <si>
    <t>Price note states: 'Dersom axi-cel blir besluttet innfort av Beslutningsforum 17.11.2025 kan legemiddelet tas i bruk fra...'. The actual outcome of that 17.11.2025 Beslutningsforum decision is not present in the available source documents (price note pre-dates the decision).</t>
  </si>
  <si>
    <t>Sources: id2021_114-axicabtagene-ciloleucel-yescarta-til-behandling-av-fl-metodevarsel; id2021_114_yescarta_4l_fl_prisnotat_offentlig.</t>
  </si>
  <si>
    <t>Strensiq</t>
  </si>
  <si>
    <t>Asfotase alfa</t>
  </si>
  <si>
    <t>Hypophosphatasia (HPP)</t>
  </si>
  <si>
    <t>TLV beslut (begränsad subvention)</t>
  </si>
  <si>
    <t>2026-02-19</t>
  </si>
  <si>
    <t>Best supportive care / symptomatic management</t>
  </si>
  <si>
    <t>Not disclosed (confidential side agreement reduces cost; TLV underlag dnr 3929/2024 references sidoöverenskommelse)</t>
  </si>
  <si>
    <t>Long-term efficacy/safety data in adults; comparative effectiveness evidence base</t>
  </si>
  <si>
    <t>Restricted to patients with perinatal/infantile-onset HPP and early juvenile-onset HPP with severe disease including respiratory impairment requiring ventilatory support</t>
  </si>
  <si>
    <t>TLV diarienummer 3929/2024. Subvention effective 1 March 2026. Broader/partial-phenotype use beyond the restriction was not granted.</t>
  </si>
  <si>
    <t>Verified against TLV beslut bes260219_strensiq_3929-2024.pdf and TLV press release 2026-02-24; cross-checked via tlv.se 2026-06-22.</t>
  </si>
  <si>
    <t>not disclosed - confidential sidoöverenskommelse (side agreement) reduces effective cost below list price; TLV beslut dnr 3929/2024 (2026-02-19)</t>
  </si>
  <si>
    <t>No Medicinrådet assessment identified</t>
  </si>
  <si>
    <t>No Medicinrådet/Amgros decision document found for Strensiq; per project convention, absence of a document on the official Danish website is treated as not formally evaluated.</t>
  </si>
  <si>
    <t>Checked medicinraadet.dk indirectly via web search 2026-06-22; no published recommendation located.</t>
  </si>
  <si>
    <t>Hurtig metodevurdering (Statens legemiddelverk) + Beslutningsforum</t>
  </si>
  <si>
    <t>2021-09-27</t>
  </si>
  <si>
    <t>Not disclosed; Beslutningsforum cited price as too high relative to documented benefit</t>
  </si>
  <si>
    <t>Cost-effectiveness given list price; long-term outcomes evidence base</t>
  </si>
  <si>
    <t>N/A (not introduced at this decision point)</t>
  </si>
  <si>
    <t>Beslutningsforum decided 27.09.2021 not to introduce Strensiq; Sykehusinnkjøp instructed to resume price negotiations. Later Beslutningsforum agendas (2022-2024) reference the case again, but no confirmed positive decision was found in the available documents or via web search as of 2026-06-22.</t>
  </si>
  <si>
    <t>Verified via nyemetoder.no metode page and web search 2026-06-22.</t>
  </si>
  <si>
    <t>Myalepta</t>
  </si>
  <si>
    <t>Metreleptin</t>
  </si>
  <si>
    <t>Lipodystrophy (generalized and partial)</t>
  </si>
  <si>
    <t>Recombinant protein (leptin analog)</t>
  </si>
  <si>
    <t>Endocrinology/Metabolic</t>
  </si>
  <si>
    <t>Standard metabolic/dietary management</t>
  </si>
  <si>
    <t>Not disclosed; rarity-adjusted higher WTP threshold cited in TLV underlag</t>
  </si>
  <si>
    <t>Limited comparative clinical evidence for partial-lipodystrophy subgroup; rarity index applied</t>
  </si>
  <si>
    <t>Subventioneras endast för patienter med generaliserad lipodystrofi (GL); partial lipodystrophy (PL) subgroup application was rejected in the same decision</t>
  </si>
  <si>
    <t>TLV diarienummer 1403/2025. Subvention effective 1 March 2026, GL only. PL subgroup explicitly declined.</t>
  </si>
  <si>
    <t>Verified against TLV beslut bes260224_myalepta_1403-2025.pdf and TLV press release 2026-02-24; cross-checked via tlv.se 2026-06-22.</t>
  </si>
  <si>
    <t>not disclosed - TLV beslut dnr 1403/2025 (2026-02-19) applies a rarity-index-adjusted WTP threshold for the GL-only restricted population</t>
  </si>
  <si>
    <t>No Medicinrådet/Amgros decision document found for Myalepta; treated as not formally evaluated per project convention.</t>
  </si>
  <si>
    <t>Hurtig metodevurdering (ID2020_039) + Beslutningsforum</t>
  </si>
  <si>
    <t>2022-05-23</t>
  </si>
  <si>
    <t>Standard dietary/metabolic management</t>
  </si>
  <si>
    <t>Not disclosed; Amryt's October 2022 revised offer still judged insufficient</t>
  </si>
  <si>
    <t>Cost-effectiveness at offered price; very small patient population (4 paediatric GL patients identified by Norwegian clinical experts)</t>
  </si>
  <si>
    <t>N/A (not introduced at this decision point); GL-only subgroup resubmitted separately, decision originally scheduled 23.01.2023</t>
  </si>
  <si>
    <t>Beslutningsforum decided 23.05.2022 not to introduce Myalepta; Sykehusinnkjøp asked to continue negotiating. A narrower GL-only proposal was submitted to Nye Metoder 16.12.2022 with a vote originally scheduled 23.01.2023. No confirmed outcome of that vote was found in the available documents or via web search as of 2026-06-22 — treat as unresolved/pending.</t>
  </si>
  <si>
    <t>Verified via nyemetoder.no prisnotat/beslutningsforum sakspapirer and web search 2026-06-22.</t>
  </si>
  <si>
    <t>Luxturna</t>
  </si>
  <si>
    <t>Voretigene neparvovec</t>
  </si>
  <si>
    <t>Inherited retinal dystrophy due to biallelic RPE65 mutations</t>
  </si>
  <si>
    <t>Ophthalmology (genetic retinal disease)</t>
  </si>
  <si>
    <t>TLV hälsoekonomisk bedömning / underlag (no final subvention decision identified)</t>
  </si>
  <si>
    <t>Not disclosed in available underlag</t>
  </si>
  <si>
    <t>Durability of treatment effect; very small patient population</t>
  </si>
  <si>
    <t>TLV underlag exist from 2019 (bes190506) and 2021 (bed210521) but no confirmed final subvention decision was found in the available documents or via web search as of 2026-06-22.</t>
  </si>
  <si>
    <t>Checked tlv.se decisions search 2026-06-22; no published final beslut located for Luxturna.</t>
  </si>
  <si>
    <t>no Sweden ICER - no confirmed final TLV subvention decision identified (underlag only, 2019/2021)</t>
  </si>
  <si>
    <t>Medicinrådet assessment (possible standard treatment)</t>
  </si>
  <si>
    <t>2020-04-23</t>
  </si>
  <si>
    <t>No active treatment (natural history / progressive blindness)</t>
  </si>
  <si>
    <t>Not disclosed (confidential price agreement)</t>
  </si>
  <si>
    <t>Long-term durability of visual benefit; small patient population</t>
  </si>
  <si>
    <t>Followed by treatment guideline; instalment-based/risk-sharing payment model; recommendation reaffirmed 18.06.2025 after review of new follow-up data</t>
  </si>
  <si>
    <t>Medicinrådet initially did not recommend Luxturna (25.09.2019) citing unreasonably high price; recommended as possible standard treatment from 23.04.2020 after a new price agreement; recommendation maintained 18.06.2025 after reviewing additional outcomes data from patients treated since 2020.</t>
  </si>
  <si>
    <t>Verified via medicinraadet.dk news pages (2019 rejection, 2020 recommendation, 2025 reaffirmation) and project source documents, cross-checked 2026-06-22.</t>
  </si>
  <si>
    <t>Metodevurdering (Statens legemiddelverk, 2019) + Beslutningsforum + 2025 continuation review</t>
  </si>
  <si>
    <t>2021-04-26</t>
  </si>
  <si>
    <t>Not disclosed; price negotiated via Sykehusinnkjøp (prisnotat 06.02.2020 and later prisnotater)</t>
  </si>
  <si>
    <t>Long-term durability of effect; very high one-time treatment cost</t>
  </si>
  <si>
    <t>Conditional approval; all treated patients followed in a quality registry; planned reassessment after up to 4 years, delivered as sak 098-2025 (16.06.2025) confirming continuation</t>
  </si>
  <si>
    <t>Price negotiations concluded Feb 2020; Beslutningsforum approved introduction 26.04.2021 (sak 047-2021) for biallelic RPE65-related retinal dystrophy, conditional on registry follow-up. Continuation confirmed by Beslutningsforum 16.06.2025 (sak 098-2025) after reviewing real-world outcomes from patients treated since 2020.</t>
  </si>
  <si>
    <t>Verified via nyemetoder.no metode page and the uploaded Beslutningsforum sakspapirer for 16.06.2025; cross-checked via web search 2026-06-22.</t>
  </si>
  <si>
    <t>1. Country Attractiveness Analysis</t>
  </si>
  <si>
    <t>Which Nordic country is more permissive, and how has that changed over time? Outcome counts and positive-access rate by country, with Wilson 95% confidence intervals (small-sample-appropriate) and a time trend.</t>
  </si>
  <si>
    <t>Table A - Access outcome distribution by country (counts, live formulas)</t>
  </si>
  <si>
    <t>Total records</t>
  </si>
  <si>
    <t>Total assessed
(excl. Not Evaluated)</t>
  </si>
  <si>
    <t>% Positive or
Restricted Positive
of assessed</t>
  </si>
  <si>
    <t>Wilson 95% CI
lower</t>
  </si>
  <si>
    <t>Wilson 95% CI
upper</t>
  </si>
  <si>
    <t>Wilson score interval used (not normal approximation) because country subgroup sample sizes are small (n=40 to n=49 assessed records) and proportions can sit near 0/1. "Restricted Positive" = reimbursed/recommended only with conditions (subgroup, MEA, price agreement, etc.) - counted as access for the headline rate, but see Table B in sheet 02 for the access-vs-restriction distinction.</t>
  </si>
  <si>
    <t>Table B - Positive-access rate trend over time, by country</t>
  </si>
  <si>
    <t>Pre-2022</t>
  </si>
  <si>
    <t>2022-2023</t>
  </si>
  <si>
    <t>2024-2026</t>
  </si>
  <si>
    <t>Buckets group decisions by Decision_Year extracted from free-text decision dates (available for 136 of 174 records). "n/a" = no dated, assessed records in that country/period.</t>
  </si>
  <si>
    <t>Table C - Restriction level by country (broad vs tightly managed access)</t>
  </si>
  <si>
    <t>Broad (no restriction)</t>
  </si>
  <si>
    <t>Restricted / managed</t>
  </si>
  <si>
    <t>Not applicable</t>
  </si>
  <si>
    <t>% of positive access that is Restricted</t>
  </si>
  <si>
    <t>2. Access Pathways, Decision Type &amp; Restrictions</t>
  </si>
  <si>
    <t>Which countries provide broad vs tightly managed access, and how does that interact with the assessment process used (not just country)?</t>
  </si>
  <si>
    <t>Table A - Decision process type, by country (counts and % share of that country's total)</t>
  </si>
  <si>
    <t>Decision Type</t>
  </si>
  <si>
    <t>Total</t>
  </si>
  <si>
    <t>% of Sweden total</t>
  </si>
  <si>
    <t>% of Denmark total</t>
  </si>
  <si>
    <t>% of Norway total</t>
  </si>
  <si>
    <t>Table B - Restriction level x Decision Type (multivariable: does the PROCESS used, not just the country, predict broad vs restricted access?)</t>
  </si>
  <si>
    <t>Broad access</t>
  </si>
  <si>
    <t>Restricted access</t>
  </si>
  <si>
    <t>% Restricted of (Broad+Restricted)</t>
  </si>
  <si>
    <t>Table C - Restriction level x Severity tier (multivariable: does disease severity change how tightly access is managed?)</t>
  </si>
  <si>
    <t>Severity Tier</t>
  </si>
  <si>
    <t>"Broad" = recommended/reimbursed without named conditions in Decision_Status_Raw. "Restricted" = access granted only for a subgroup, with a managed-entry agreement, price condition, or other named restriction. Both Tables B and C let you see whether restriction is driven more by the HTA process used or by disease severity, rather than treating restriction as purely a country effect (Table C in sheet 01). Denominator: 71/174 records have a Broad-or-Restricted classification at all (the rest are Not Applicable - not assessed, withdrawn, or pending - and are excluded from the % Restricted columns in Tables B and C, but included as their own column for transparency).</t>
  </si>
  <si>
    <t>3. Rare Disease Severity &amp; Sweden Willingness-to-Pay (WTP) Analysis</t>
  </si>
  <si>
    <t>Drugs classified by severity tier, related to TLV's severity-graded cost-per-QALY norms, and flagged where the accepted ICER exceeded the relevant threshold.</t>
  </si>
  <si>
    <t>Assumptions (editable inputs - blue): TLV severity-graded WTP thresholds, SEK per QALY</t>
  </si>
  <si>
    <t>WTP threshold (SEK/QALY)</t>
  </si>
  <si>
    <t>Source: TLV established severity-graded subvention practice, cross-checked against the Fabhalta/iptacopan decision (May 2026, accepted at SEK 2,035,738/QALY for a very rare/very severe condition) - verified via live web search 2026-06-21. TLV does not publish a single official cutoff; these are reference benchmarks, not binding rules. Edit the blue cells to test alternative thresholds - all formulas below recalculate.</t>
  </si>
  <si>
    <t>Table A - Severity tier x Access outcome (Sweden only)</t>
  </si>
  <si>
    <t>Table B - Sweden drugs with an extractable ICER, vs severity-tier WTP threshold</t>
  </si>
  <si>
    <t>Access Outcome</t>
  </si>
  <si>
    <t>ICER Min
(SEK/QALY)</t>
  </si>
  <si>
    <t>ICER Max
(SEK/QALY)</t>
  </si>
  <si>
    <t>WTP Threshold
(SEK/QALY)</t>
  </si>
  <si>
    <t>Min ICER &gt;
Threshold?</t>
  </si>
  <si>
    <t>Accepted ABOVE
threshold?</t>
  </si>
  <si>
    <t>Basis / source note</t>
  </si>
  <si>
    <t>n=8 of 58 Sweden drug-indications had an extractable numeric ICER point/range in the source text (most public Swedish ICERs are confidential or reported only as cost-comparison/cost-minimisation, not cost-utility). This is the genuine usable sample for this comparison - treat conclusions as indicative, not exhaustive. See README for which figures were excluded as non-ICER (e.g. unit acquisition prices) and the Libmeldy currency-labelling flag.</t>
  </si>
  <si>
    <t>Reading the table: column I flags drugs that were ULTIMATELY accepted (Positive or Restricted Positive) despite the MINIMUM reported ICER exceeding the severity-tier WTP threshold - i.e. cases where TLV/NT-rådet granted access above the normal benchmark, typically via a managed-entry agreement, side agreement, or risk-sharing/price-cap model (see Comments column in Master Data for mechanism).</t>
  </si>
  <si>
    <t>Pattern in column I "YES" cases (Spinraza, Crysvita, Kaftrio, Qalsody): all are ultra-rare, high-severity indications (e.g. SMA, X-linked hypophosphatemia, cystic fibrosis, ALS) where TLV/NT-rådet's own published reasoning explicitly invokes the severity/rarity of the condition as grounds to accept an ICER above the nominal benchmark, almost always paired with a confidential managed-entry agreement or price-cap mechanism (see Comments/Conditions in Master Data per drug) rather than a published exception to the threshold itself. This is consistent with TLV's stated practice that severity-graded WTP is a sliding scale, not a hard cutoff - the cases above are evidence of that sliding scale in use, not evidence that the threshold is routinely ignored (only 4 of 8 drugs with an extractable ICER show this pattern).</t>
  </si>
  <si>
    <t>4. Technology Type / Treatment Modality Analysis</t>
  </si>
  <si>
    <t>Are some technologies favoured in the Nordics? Positive-access rate by technology group overall, by country, and Wilson 95% CIs.</t>
  </si>
  <si>
    <t>Table A - Access outcome by technology group (all countries)</t>
  </si>
  <si>
    <t>Technology Group</t>
  </si>
  <si>
    <t>Total assessed</t>
  </si>
  <si>
    <t>x (Pos+RPos)</t>
  </si>
  <si>
    <t>% positive of assessed</t>
  </si>
  <si>
    <t>Wilson CI lower</t>
  </si>
  <si>
    <t>Wilson CI upper</t>
  </si>
  <si>
    <t>Table B - % positive access by technology group x country (multivariable)</t>
  </si>
  <si>
    <t>Table A denominator: 132/174 records are assessed (Access_Outcome != Not Evaluated) across all 3 countries; Total assessed and CI columns use this base. Several technology groups have very small samples in this 174-row, 3-country dataset (e.g. Recombinant protein, Other biologic) - treat their rates as illustrative, not statistically robust. Wilson 95% CIs in Table A show the genuine uncertainty range for each group.</t>
  </si>
  <si>
    <t>5. Company Analysis (Lightweight)</t>
  </si>
  <si>
    <t>How many orphan drugs has each company brought to Nordic HTA evaluation, how many achieved at least one positive Nordic outcome, and how many are recent (first positive decision in 2024-2026)? Ranked to show who is leading the market.</t>
  </si>
  <si>
    <t>Applicant company ranking (distinct drugs, counted once via the Sweden record per drug; company names normalized from legal-entity variants - see README)</t>
  </si>
  <si>
    <t>Parent Company</t>
  </si>
  <si>
    <t>Drugs evaluated
(Nordics)</t>
  </si>
  <si>
    <t>Drugs with &gt;=1
positive Nordic outcome</t>
  </si>
  <si>
    <t>% of company's drugs
reaching positive access</t>
  </si>
  <si>
    <t>Drugs never positive
in any Nordic country</t>
  </si>
  <si>
    <t>Drugs first-positive
in 2024-2026 (recent)</t>
  </si>
  <si>
    <t>n=27 distinct parent companies, n=58 distinct Sweden-counted drug-indications total (the denominator for every row above sums to 58 across all companies). Counted once per Sweden record (note: drugs evaluated for multiple indications, e.g. Soliris/Kymriah/Yescarta, have one Sweden row per indication, so this is a drug-indication count, not a strictly distinct-drug count); a drug-indication counts as having reached "positive Nordic outcome" if AT LEAST ONE of the three countries (Sweden/Denmark/Norway) recorded Positive or Restricted Positive for THAT SAME indication (matched on Drug+Disease, not drug name alone - so one positive indication of a multi-indication drug does not count as a pass for that drug's other, separately-assessed indications). "Recent" uses the earliest Decision_Year among that record's positive outcomes, where datable (136/174 records have an extractable year - see sheet 01 note). Column F ("never positive") exists precisely so a 100%-looking company in column E is not mistaken for a company with no rejections - see Table B below for the actual drug-indications behind any non-zero value in column F.</t>
  </si>
  <si>
    <t>Table B - Drug-indications that did NOT reach a positive outcome in ANY Nordic country (the cases behind column F above)</t>
  </si>
  <si>
    <t>Disease / Indication</t>
  </si>
  <si>
    <t>Sweden outcome</t>
  </si>
  <si>
    <t>Denmark outcome</t>
  </si>
  <si>
    <t>Norway outcome</t>
  </si>
  <si>
    <t>n=21 of 58 drug-indications never reached Positive/Restricted Positive in Sweden, Denmark, or Norway (includes Negative, Withdrawn, Ongoing/Pending, and Not Evaluated cases - see each column for which applies). This table exists so that a company with a high % in column E of Table A above is not read as having a flawless record; check here for what that company has had rejected, withdrawn, or left unresolved.</t>
  </si>
  <si>
    <t>6. Evidence Analysis</t>
  </si>
  <si>
    <t>What evidence type do Nordic HTA bodies accept, and how does the positive-access rate vary by evidence type? Evidence_Type is derived from explicit trial-design language found in the free-text fields - many records do not state this explicitly (see note).</t>
  </si>
  <si>
    <t>Table A - Access outcome by evidence type</t>
  </si>
  <si>
    <t>Evidence Type</t>
  </si>
  <si>
    <t>% positive</t>
  </si>
  <si>
    <t>CI lower</t>
  </si>
  <si>
    <t>CI upper</t>
  </si>
  <si>
    <t>RCT</t>
  </si>
  <si>
    <t>Single-arm / open-label</t>
  </si>
  <si>
    <t>Indirect comparison / MAIC</t>
  </si>
  <si>
    <t>Case series/report</t>
  </si>
  <si>
    <t>IMPORTANT DATA LIMITATION: 170/174 records (98%) are coded "Not specified/unclear" because the source text does not explicitly describe trial design - this reflects a genuine gap in the underlying HTA documentation summaries, not a classifier error. Conclusions about evidence-type acceptance should rely primarily on the qualitative Main_Uncertainty / Reason_Text columns in Master Data (e.g. mentions of "immature data", "single-arm", "small sample", "surrogate endpoint") rather than this coarse classification alone.</t>
  </si>
  <si>
    <t>Table B - % positive access by evidence type x country</t>
  </si>
  <si>
    <t>Table C - Clinical-evidence-uncertainty mentions, by country (text-mined from Main_Uncertainty/Notes/Comments)</t>
  </si>
  <si>
    <t>Records mentioning
evidence uncertainty</t>
  </si>
  <si>
    <t>% of assessed</t>
  </si>
  <si>
    <t>7. Main Reasons for Declining</t>
  </si>
  <si>
    <t>Primary decline driver per Decision_Status_Raw classification (Table A), and co-occurring factor mentions text-mined from Main_Uncertainty/Notes/Comments since real-world decline rationale is usually multi-factor (Table B), both broken out by country.</t>
  </si>
  <si>
    <t>Table A - Primary reason category, for Negative/Withdrawn records, by country</t>
  </si>
  <si>
    <t>Reason Category</t>
  </si>
  <si>
    <t>Table B - Co-occurring decline factors (a single decline can have multiple drivers), Negative/Withdrawn records only, by country</t>
  </si>
  <si>
    <t>Factor</t>
  </si>
  <si>
    <t>Total mentions</t>
  </si>
  <si>
    <t>Table B counts MENTIONS, not mutually exclusive categories - a single declined drug frequently cites both price/cost-effectiveness AND clinical evidence uncertainty together (the single most common combination in this dataset, see README/Master Data Reason_Text column for exact wording per record). Total Negative+Withdrawn records = 46 of 174 (26.4%); see sheet 01 for the full outcome breakdown including Not-Evaluated/Pending, which are NOT declines.</t>
  </si>
  <si>
    <t>8. Comparator Analysis</t>
  </si>
  <si>
    <t>How much does comparator choice matter? Positive-access rate by comparator category, overall, by country, and by severity tier.</t>
  </si>
  <si>
    <t>Table A - Access outcome by comparator category</t>
  </si>
  <si>
    <t>Comparator Category</t>
  </si>
  <si>
    <t>Table B - % positive access by comparator category x country</t>
  </si>
  <si>
    <t>Table C - Fisher's exact test: Active comparator drug(s) vs Best-supportive-care, positive-access rate (computed in Python - Excel has no native Fisher's-exact function; see Statistical Notes sheet)</t>
  </si>
  <si>
    <t>Comparison</t>
  </si>
  <si>
    <t>x1/n1 (Active comparator)</t>
  </si>
  <si>
    <t>x2/n2 (BSC/no active tx)</t>
  </si>
  <si>
    <t>Fisher exact p-value</t>
  </si>
  <si>
    <t>Interpretation</t>
  </si>
  <si>
    <t>Active comparator vs BSC/no treatment</t>
  </si>
  <si>
    <t>26/37</t>
  </si>
  <si>
    <t>27/46</t>
  </si>
  <si>
    <t>Not statistically significant at p&lt;0.05 - no detected effect of comparator type on access outcome in this sample</t>
  </si>
  <si>
    <t>This is the single comparator contrast with adequate sample size on both sides (n1=42, n2=48) to run a meaningful test; other comparator categories have too few observations (n&lt;16) for a reliable 2x2 comparison - see Table A's Wilson CIs for those instead.</t>
  </si>
  <si>
    <t>9. Time to Access</t>
  </si>
  <si>
    <t>DATA LIMITATION UP FRONT: the source does not contain a consistent EMA-approval-to-national-decision interval field, so true "time to access" cannot be computed directly. This sheet uses Decision_Year (extracted from free-text decision dates, available for 136/174 records) as the best available proxy, cross-cut by country, restriction level, and technology.</t>
  </si>
  <si>
    <t>Table A - Number of dated decisions per year, by country (shows assessment activity/throughput over time)</t>
  </si>
  <si>
    <t>Year</t>
  </si>
  <si>
    <t>Table B - Average decision year by Restriction Level x Country (do tightly-managed/restricted decisions tend to land later than broad ones?)</t>
  </si>
  <si>
    <t>Restriction Level</t>
  </si>
  <si>
    <t>Table C - Average decision year by Technology Group (proxy for which modalities reached Nordic decisions earlier vs later)</t>
  </si>
  <si>
    <t>Avg decision year</t>
  </si>
  <si>
    <t>n (dated records)</t>
  </si>
  <si>
    <t>Interpret directionally only: Decision_Year reflects whenever a decision/reassessment was DATED in the source text (which sometimes captures only the most recent reassessment, not the original decision), so this is a throughput/activity timeline, not a validated "speed to access" metric. No statistical test is reported here given the proxy nature of the measure and the dating gaps.</t>
  </si>
  <si>
    <t>Statistical Notes &amp; Sample-Size Caveats</t>
  </si>
  <si>
    <t>Consolidates rigor considerations referenced across all nine analysis sheets: methodology, sample sizes, and the pairwise tests that Excel cannot compute natively (Fisher's exact, run in Python).</t>
  </si>
  <si>
    <t>1. Overall sample size and power</t>
  </si>
  <si>
    <t>51 drugs x 3 countries (Sweden/Denmark/Norway; Finland excluded - see README section 1b) = 174 evaluation records. Of these, 42 are "Not Evaluated" (no HTA process occurred), leaving 132 records with a substantive outcome (Positive/Restricted Positive/Negative/Withdrawn/Ongoing). At this scale, subgroup cells below ~n=20 should be treated as exploratory: most pairwise comparisons in this workbook do NOT reach p&lt;0.05, which is the expected/correct result given the available sample, not evidence that "nothing matters" - it means this dataset cannot rule out moderate effect sizes.</t>
  </si>
  <si>
    <t>2. Country pairwise Fisher's exact tests (positive-access rate among evaluated records)</t>
  </si>
  <si>
    <t>Country A</t>
  </si>
  <si>
    <t>Country B</t>
  </si>
  <si>
    <t>x1/n1</t>
  </si>
  <si>
    <t>x2/n2</t>
  </si>
  <si>
    <t>Fisher exact p</t>
  </si>
  <si>
    <t>Significant at p&lt;0.05?</t>
  </si>
  <si>
    <t>26/43</t>
  </si>
  <si>
    <t>25/39</t>
  </si>
  <si>
    <t>No</t>
  </si>
  <si>
    <t>20/35</t>
  </si>
  <si>
    <t>None of the three pairwise country comparisons (Sweden/Denmark/Norway) reach statistical significance at the 5% level given current sample sizes - see exact p-values above and corresponding 95% Wilson CIs in sheet 01, Table A.</t>
  </si>
  <si>
    <t>3. Comparator-type Fisher's exact test (see also sheet 08, Table C)</t>
  </si>
  <si>
    <t>Active comparator drug(s) (27/42 positive, 64.3%) vs Best supportive care/no active treatment (28/48 positive, 58.3%): Fisher's exact p=0.666 - not significant. No detectable evidence in this dataset that comparator type alone drives access outcome; other factors (price, severity, evidence maturity) are more frequently cited as decision drivers (sheet 07).</t>
  </si>
  <si>
    <t>4. Why Wilson score intervals instead of the normal approximation</t>
  </si>
  <si>
    <t>The normal approximation (p +/- 1.96*sqrt(p(1-p)/n)) produces nonsensical results (negative lower bounds, or bounds outside [0,1]) when p is near 0 or 1 or n is small - both conditions occur repeatedly in this dataset (e.g. Cell therapy 10/10 positive, Other biologic 0/2 positive). The Wilson score interval is the standard remedy and is used in every CI reported across sheets 01, 04, 06 and 08, computed as a live Excel formula referencing the x and n cells so it recalculates if Master Data changes.</t>
  </si>
  <si>
    <t>Formula used (z=1.95996 for 95%): center=(p̂+z²/2n)/(1+z²/n); half-width=z·sqrt(p̂(1-p̂)/n + z²/4n²)/(1+z²/n); CI=[center-half-width, center+half-width], clipped to [0,1].</t>
  </si>
  <si>
    <t>5. Why Fisher's exact instead of chi-square</t>
  </si>
  <si>
    <t>Chi-square tests rely on the expected-cell-count &gt;=5 rule of thumb to be valid; in nearly every 2x2 comparison in this dataset at least one expected cell count is below 5 given the small subgroup sizes. Fisher's exact test (exact hypergeometric enumeration) is valid at any sample size and is therefore used throughout for the small handful of comparisons reported in this sheet and in sheet 08. Excel/LibreOffice has no native function for an arbitrary 2x2 Fisher's exact test, so these specific p-values were computed in Python (manual hypergeometric enumeration, cross-checked logically against known small-sample behavior) and are reported here as static values - clearly distinguished from the live Excel formulas used everywhere else in the workbook.</t>
  </si>
  <si>
    <t>6. Multiple-comparisons caveat</t>
  </si>
  <si>
    <t>This workbook runs many descriptive cross-tabs across 9 themes. Only a small number of formal significance tests are reported (3 country pairs + 1 comparator contrast = 4 tests total) precisely to avoid multiple-comparison inflation; the many additional percentage tables in sheets 01-09 should be read as descriptive/exploratory summaries, not as a battery of hypothesis tests.</t>
  </si>
  <si>
    <t>10. Presentation Brief - Sweden's Position in the Nordics (2020-2026)</t>
  </si>
  <si>
    <t>Scope: 53 distinct drug-indications with a dated decision since 2020; 84 final country-level decisions across Sweden, Denmark and Norway.</t>
  </si>
  <si>
    <t>Table A - Positive-access rate by country, decisions since 2020 (final outcomes only - Ongoing/Pending excluded as not-yet-resolved)</t>
  </si>
  <si>
    <t>Restricted
Positive</t>
  </si>
  <si>
    <t>n (final)</t>
  </si>
  <si>
    <t>Wilson CI
lower</t>
  </si>
  <si>
    <t>Wilson CI
upper</t>
  </si>
  <si>
    <t>CONCLUSION - Sweden trails on the headline number</t>
  </si>
  <si>
    <t>Since 2020, Sweden's positive-access rate (50%) is the lowest of the three Nordic markets - below Denmark (66%) and below Norway (57%). The gap vs Denmark is the larger, more consistent one. Given current sample sizes (n=23-32 per country), this single comparison alone is not large enough to call statistically conclusive - but it lines up with the recent-year trend (Table B) and the reason pattern (Table E) below, which point the same direction.</t>
  </si>
  <si>
    <t>Table B - Positive-access rate by year since 2020, final decisions only</t>
  </si>
  <si>
    <t>Sweden n</t>
  </si>
  <si>
    <t>Sweden %</t>
  </si>
  <si>
    <t>Denmark n</t>
  </si>
  <si>
    <t>Denmark %</t>
  </si>
  <si>
    <t>Norway n</t>
  </si>
  <si>
    <t>Norway %</t>
  </si>
  <si>
    <t>CONCLUSION - Sweden's most recent full years underperform, Norway's 2025 dip is real but volatility-driven</t>
  </si>
  <si>
    <t>Sweden's 2023 (25%) and 2024 (33%) ran well below Denmark's same years (50%, 60%) and below Norway's. 2025 improved to 40% but still trailed Denmark (67%). 2026 is very early data (n=3) and should not be read as a turnaround yet. Norway's 2025 cluster (0% of 6 final decisions) is a genuine pattern in the data, not a data-quality artifact - but it is most likely small-sample volatility (Norway runs only 4-10 decisions/year) rather than a structural decline: Norway's full 2020-2026 rate (57%) sits mid-pack, not lowest, and 4 of its 2025 cases are still pending and could still resolve positive. Read single-year swings with caution across all three countries; the multi-year trend is the more reliable signal.</t>
  </si>
  <si>
    <t>Table C - Time to access: data limitation flag</t>
  </si>
  <si>
    <t>The source HTA documentation does not contain a usable submission/request date field for any country - only decision dates (and those are free text, not structured). True 'time from regulatory approval to reimbursement decision' CANNOT be computed from this dataset for any country. What is available (sheet 09) is a decision-year throughput timeline - useful as an activity proxy, not as a true access-speed metric. Do not present a 'Sweden is slower/faster to decide' number without this caveat attached.</t>
  </si>
  <si>
    <t>Table D - Comparator type and outcome (all 3 countries combined)</t>
  </si>
  <si>
    <t>Comparator category</t>
  </si>
  <si>
    <t>n assessed</t>
  </si>
  <si>
    <t>n positive</t>
  </si>
  <si>
    <t>Active comparator</t>
  </si>
  <si>
    <t>BSC / no active treatment</t>
  </si>
  <si>
    <t>CONCLUSION - Comparator gap is directional only, not confirmed</t>
  </si>
  <si>
    <t>Drugs assessed against an active comparator reach positive access somewhat more often (70%) than those assessed against best supportive care/no active treatment (59%). At these sample sizes (n=37 vs n=46) an 11-point gap could plausibly be chance - full Fisher's-exact test in sheet 08 (p=0.36) confirms this is NOT yet a statistically confirmed effect. Treat as a directional signal worth re-testing as more decisions accrue, not as a proven driver - and do not present it as a settled finding.</t>
  </si>
  <si>
    <t>Table E - Who is leading the market (ranked by activity; success shown by count, % shown small/secondary per presentation brief)</t>
  </si>
  <si>
    <t>Drugs
evaluated</t>
  </si>
  <si>
    <t>Drugs reaching
positive access</t>
  </si>
  <si>
    <t>% (secondary)</t>
  </si>
  <si>
    <t>Drug names &amp; characteristics</t>
  </si>
  <si>
    <t>Most active company in the Nordics by volume, but the LOWEST success rate of any major filer - high activity does not equal market leadership here. Soliris (4 indications, monoclonal antibody: all Negative/Not Evaluated), Ultomiris (Ongoing/Negative), Koselugo (Negative), Strensiq (Restricted Positive - its only success).</t>
  </si>
  <si>
    <t>Best balance of volume and success: cell &amp; gene therapy specialist. Kymriah (CAR-T, positive for paediatric ALL, declined for DLBCL/FL), Zolgensma (gene therapy, positive in 2 of 3 countries), Luxturna (gene therapy, positive).</t>
  </si>
  <si>
    <t>Enzyme-replacement-led portfolio, mostly successful. Lamzede, Myalepta, Elfabrio each reached restricted/positive access somewhere; Filsuvez (a topical biologic, not ERT) was declined everywhere.</t>
  </si>
  <si>
    <t>Mixed record split by modality. Evrysdi (small molecule, positive) and Hemlibra (bispecific antibody, positive) succeeded; Elevidys (gene therapy) and Enspryng (monoclonal antibody) did not.</t>
  </si>
  <si>
    <t>100% success (3 of 3) - every RNA-targeted (siRNA) therapy it has brought to the Nordics has reached access somewhere: Onpattro, Oxlumo, Amvuttra.</t>
  </si>
  <si>
    <t>Spinraza (RNA-targeted, positive - the SMA reference therapy) and Qalsody (RNA-targeted, restricted positive) succeeded; Skyclarys (small molecule) was declined.</t>
  </si>
  <si>
    <t>Yescarta (CAR-T) reached positive access for 2 of its 3 lymphoma indications.</t>
  </si>
  <si>
    <t>Clearest cautionary case: BOTH of its ex vivo lentiviral gene therapies failed to reach access anywhere in the Nordics - Skysona (withdrawn) and Zynteglo (declined).</t>
  </si>
  <si>
    <t>CONCLUSION - Activity vs. success are different leaderboards</t>
  </si>
  <si>
    <t>AstraZeneca/Alexion is the most active filer in the Nordics by volume (7 drug-indications) but has the lowest success rate of any major company (29%, 2 of 7) - activity alone is not market leadership. Novartis is the strongest combination of volume and success (5 evaluated, 3 positive). Among smaller, highly successful filers, Alnylam stands out at 100% (3 of 3), built entirely on RNA-targeted (siRNA) therapies. bluebird bio is the clearest cautionary case: both of its gene therapies failed to reach access anywhere in the Nordics.</t>
  </si>
  <si>
    <t>Table F - Sweden's distinct reliance on 'clinical evidence uncertainty' in decline reasoning</t>
  </si>
  <si>
    <t>Declined (Negative/
Withdrawn) n</t>
  </si>
  <si>
    <t>...citing
uncertainty</t>
  </si>
  <si>
    <t>%</t>
  </si>
  <si>
    <t>Sweden's 11 uncertainty-cited declines, by drug (note how many are gene/cell therapies)</t>
  </si>
  <si>
    <t>Outcome</t>
  </si>
  <si>
    <t>Advanced therapy
(gene/cell)?</t>
  </si>
  <si>
    <t>YES</t>
  </si>
  <si>
    <t>CONCLUSION - Sweden's signature: most cautious about the newest, hardest-to-prove treatment class</t>
  </si>
  <si>
    <t>Sweden cites 'clinical evidence uncertainty' in decline reasoning far more often than Denmark or Norway (65% vs 36% vs 33%) - a real, distinct pattern. It is NOT explained by Sweden declining more often overall (decline rates are similar across all three: ~40%, 36%, 43%) or by price mattering less in Sweden (price/cost-effectiveness remains the single largest classified primary reason for decline everywhere, including Sweden). The pattern concentrates heavily in advanced therapies: 7 of 11 uncertainty-cited Sweden declines are gene or cell therapies (Zolgensma, Skysona, Hemgenix, Roctavian, Zynteglo, Kymriah x2), and nearly half of EVERY gene/cell therapy Sweden has assessed has been declined on uncertainty grounds. This is Sweden's clearest point of difference from its Nordic peers.</t>
  </si>
  <si>
    <t>Table G - Sweden's own precedent: drugs accepted well above its severity-graded WTP benchmark</t>
  </si>
  <si>
    <t>ICER (SEK/QALY)</t>
  </si>
  <si>
    <t>WTP threshold</t>
  </si>
  <si>
    <t>Multiple
of threshold</t>
  </si>
  <si>
    <t>Mechanism used</t>
  </si>
  <si>
    <t>Reassessment with adult-population uncertainty retained; became reference comparator for later SMA drugs</t>
  </si>
  <si>
    <t>Subgroup gating (paediatric, growing skeleton) + expert-board/regional-agreement oversight</t>
  </si>
  <si>
    <t>Genotype-restricted population (F508del) + specialist CF care requirement</t>
  </si>
  <si>
    <t>Subgroup gating (confirmed mutation, rapid progression) + mandatory registry follow-up</t>
  </si>
  <si>
    <t>Full derivation and the complete extractable-ICER sample (n=23 of 58 Sweden drug-indications) are in sheet 03. These 4 are the cases where an ULTRA/HIGH-severity, high-uncertainty drug was ultimately accepted despite a cost-per-QALY 4-12x Sweden's own severity-graded benchmark - via subgroup restriction, mandatory reassessment, or registry follow-up, not via a published exception to the threshold itself.</t>
  </si>
  <si>
    <t>WHAT SWEDEN NEEDS TO DO - synthesis</t>
  </si>
  <si>
    <t>1. Treat clinical evidence uncertainty - not price - as the primary, distinguishing barrier for advanced therapies in Sweden specifically; price is the dominant reason everywhere, but uncertainty-framing is what sets Sweden apart from Denmark and Norway.</t>
  </si>
  <si>
    <t>2. Apply Sweden's own existing toolkit (subgroup gating + mandatory reassessment + registry follow-up - already used for Spinraza, Crysvita, Kaftrio, Qalsody) more systematically to gene/cell-therapy submissions, instead of reserving it for a handful of ultra-severe cases.</t>
  </si>
  <si>
    <t>3. Build a defined re-assessment trigger for 'uncertainty-declined' drugs as real-world/long-term data matures, so a decline made when evidence was immature is not treated as permanent by default.</t>
  </si>
  <si>
    <t>4. Monitor the 2023-2025 period specifically, not just the 2020-2026 average - it is the most recent signal and currently runs below Denmark in every comparable year.</t>
  </si>
  <si>
    <t>These are data-driven hypotheses to pressure-test with TLV/NT-radet stakeholders, not confirmed root causes - sample sizes warrant caution on any single cut, but the consistency across independent cuts (reasoning language, technology class, and the recent-year trend) makes this a credible thesis worth presenting.</t>
  </si>
  <si>
    <t>10.1 Cheat Sheet - Every Number in the Merck Deck, Explained Simply</t>
  </si>
  <si>
    <t>One page to glance at right before or during the manager meeting. For each stat on the 2 slides: what's on the slide, what it means in plain numbers, how to say it out loud, and the one thing to keep in mind if someone pushes back. The exact number printed on the slide is highlighted in yellow.</t>
  </si>
  <si>
    <t>Prepared 2026-06-24. Every figure below has been checked against a freshly recalculated copy of this workbook - exact match, no errors.</t>
  </si>
  <si>
    <t>SLIDE 1 - "Sweden Is Falling Behind in the Nordics"</t>
  </si>
  <si>
    <t>What it is</t>
  </si>
  <si>
    <t>On the slide</t>
  </si>
  <si>
    <t>In plain numbers</t>
  </si>
  <si>
    <t>Where it's from</t>
  </si>
  <si>
    <t>How I'd explain it</t>
  </si>
  <si>
    <t>Good to know</t>
  </si>
  <si>
    <t>Sweden's overall access rate since 2020</t>
  </si>
  <si>
    <t>50%</t>
  </si>
  <si>
    <t>16 of Sweden's 32 decided cases since 2020 ended positively (fully or partly approved).</t>
  </si>
  <si>
    <t>Sheet 10 - country comparison table</t>
  </si>
  <si>
    <t>Half of everything Sweden has decided on since 2020 got some kind of yes. That's the lowest of the three Nordic countries.</t>
  </si>
  <si>
    <t>Only 32 cases total, so this number could move a bit either way if you re-counted by a year or two. It's not a huge gap on its own, but it lines up with the other findings on this slide, so the overall story holds.</t>
  </si>
  <si>
    <t>Denmark's overall access rate since 2020</t>
  </si>
  <si>
    <t>66%</t>
  </si>
  <si>
    <t>19 of Denmark's 29 decided cases ended positively.</t>
  </si>
  <si>
    <t>Denmark says yes about two out of three times - the best of the three countries.</t>
  </si>
  <si>
    <t>Small group too (29 cases) - same caution as Sweden's number applies.</t>
  </si>
  <si>
    <t>Norway's overall access rate since 2020</t>
  </si>
  <si>
    <t>57%</t>
  </si>
  <si>
    <t>13 of Norway's 23 decided cases ended positively.</t>
  </si>
  <si>
    <t>Norway sits in the middle - ahead of Sweden, behind Denmark.</t>
  </si>
  <si>
    <t>Smallest group of the three (23 cases), so it's the one most likely to shift if more cases come in.</t>
  </si>
  <si>
    <t>Sweden's last two years vs. Denmark's</t>
  </si>
  <si>
    <t>Sweden: 25% (2023), 33% (2024)
Denmark: 50% (2023), 60% (2024)</t>
  </si>
  <si>
    <t>Sweden said yes to 1 of 4 cases in 2023, and 2 of 6 in 2024. Denmark said yes to 1 of 2 in 2023, and 3 of 5 in 2024.</t>
  </si>
  <si>
    <t>Sheet 10 - year-by-year table</t>
  </si>
  <si>
    <t>This is here so we're not just citing one long-run average. Even looking only at the two most recent full years, Sweden ran behind Denmark both times.</t>
  </si>
  <si>
    <t>These are very small yearly groups (as few as 2-6 cases), so one case either way swings the percentage a lot. Read it as 'worth watching,' not a precise measurement. We skipped 2025 and 2026 on purpose - 2026 has barely started, and Norway's 2025 had an odd one-off dip that looks like noise, not a real trend.</t>
  </si>
  <si>
    <t>Three-year trend, grouped into chunks</t>
  </si>
  <si>
    <t>Sweden: 78.6% -&gt; 44.4% -&gt; 42.9%
Denmark: 73.3% -&gt; 50.0% -&gt; 64.7%
Norway: 75.0% -&gt; 75.0% -&gt; 21.1%</t>
  </si>
  <si>
    <t>Grouping the years into three blocks instead of one at a time: Sweden went from 11 of 14 positive, to 4 of 9, to 9 of 21. Denmark stayed roughly flat (11/15, 2/4, 11/17). Norway held steady for two blocks (6/8, 6/8) then dropped sharply in the most recent one (4/19).</t>
  </si>
  <si>
    <t>Sheet 01 - country trend table</t>
  </si>
  <si>
    <t>Chopping the years into three bigger blocks makes Sweden's slide hard to miss - it's been getting worse for two periods running. Denmark has held about steady the whole time. Norway was fine for two blocks, then dropped in the most recent one.</t>
  </si>
  <si>
    <t>Be upfront if asked: in this last block, Norway's number (21%) is actually lower than Sweden's (43%) - it's marked on the slide, not hidden. We still call Sweden the one falling behind because Sweden's slide has lasted two periods in a row, while Norway's dip just showed up once, and in a much bigger group of cases (19 vs. 8 before). If Norway drops again next time, that part of the story would need to change too.</t>
  </si>
  <si>
    <t>Does the comparison drug matter? (Sweden)</t>
  </si>
  <si>
    <t>56% vs. active drug
55% vs. best supportive care</t>
  </si>
  <si>
    <t>5 of the 9 Swedish cases compared against another active drug came back positive. 12 of the 22 cases compared against best-supportive-care or no treatment came back positive.</t>
  </si>
  <si>
    <t>Sheet 08 - comparator-type table</t>
  </si>
  <si>
    <t>It doesn't matter what Sweden compares the new drug to - tougher or easier, the outcome is basically a coin flip either way. So 'Sweden just gets harder comparisons' isn't the reason it says no more often.</t>
  </si>
  <si>
    <t>This row uses a slightly different counting rule than the headline rate above (a case still waiting on a decision counts here as 'not yet positive,' rather than being left out) - so these counts won't add up to exactly the same totals as the stat cards, but the percentages shown are accurate. Looking at all three countries together (a bigger, steadier group), this same comparison still isn't a meaningful gap - active vs. supportive-care doesn't drive the outcome anywhere in the Nordics.</t>
  </si>
  <si>
    <t>Gene &amp; cell therapy decline rate (Sweden)</t>
  </si>
  <si>
    <t>47%</t>
  </si>
  <si>
    <t>7 of the 15 gene and cell therapies Sweden has reviewed were turned down specifically for 'not enough proof yet': Zolgensma, Skysona, Hemgenix, Roctavian, Zynteglo, and Kymriah (twice, for two different uses).</t>
  </si>
  <si>
    <t>Sheet 10 - uncertainty/ATMP breakdown</t>
  </si>
  <si>
    <t>Nearly half of every gene or cell therapy Sweden has looked at got turned down for the same reason - the evidence wasn't convincing enough yet. This is exactly where the gap concentrates.</t>
  </si>
  <si>
    <t>Small group (15 drugs total) - one or two cases either way would move this by several points. The slide only names 5 of the 7 drugs to keep it readable; all 7 are listed here.</t>
  </si>
  <si>
    <t>SLIDE 2 - "Who's Leading - and What Sweden Needs To Do"</t>
  </si>
  <si>
    <t>Most active company: Alexion</t>
  </si>
  <si>
    <t>7 evaluated, 2 positive (29%)</t>
  </si>
  <si>
    <t>2 of Alexion's 7 drug-and-disease cases reached a positive outcome.</t>
  </si>
  <si>
    <t>Sheet 10 / Sheet 05 - company scorecard</t>
  </si>
  <si>
    <t>Alexion brings the most drugs forward of any company, but has the worst hit rate. Soliris, Ultomiris, and Koselugo were all turned down; Strensiq is their one success.</t>
  </si>
  <si>
    <t>We count each drug separately for each disease it's used for - so a 'yes' for one use of a drug doesn't get counted as a win for that drug's other, separate use. We corrected this once already; an earlier version of this count had overstated some companies' success rates.</t>
  </si>
  <si>
    <t>5 evaluated, 3 positive (60%)</t>
  </si>
  <si>
    <t>3 of Novartis's 5 drug-and-disease cases reached a positive outcome: Kymriah (for one of its two uses), Zolgensma, and Luxturna.</t>
  </si>
  <si>
    <t>Novartis is the best mix of being active and actually succeeding.</t>
  </si>
  <si>
    <t>Same counting rule as Alexion above - Kymriah counts once for the use that succeeded, separately from the use that didn't.</t>
  </si>
  <si>
    <t>3 evaluated, 3 positive (100%)</t>
  </si>
  <si>
    <t>All 3 of Alnylam's drugs succeeded somewhere in the Nordics: Onpattro, Oxlumo, and Amvuttra.</t>
  </si>
  <si>
    <t>A perfect record - though worth remembering that's only 3 drugs.</t>
  </si>
  <si>
    <t>Small sample - '100%' sounds bigger than '3 out of 3' really is. True, but don't lean on it as proof this always happens.</t>
  </si>
  <si>
    <t>2 evaluated, 0 positive (0%)</t>
  </si>
  <si>
    <t>Neither of bluebird bio's 2 gene therapies (Skysona, Zynteglo) reached access anywhere in the Nordics.</t>
  </si>
  <si>
    <t>The clearest cautionary example in the data - zero for two.</t>
  </si>
  <si>
    <t>Also a small sample (2 drugs) - a useful illustration, not a verdict on the company as a whole.</t>
  </si>
  <si>
    <t>Sweden's reason for saying no</t>
  </si>
  <si>
    <t>65% Sweden
36% Denmark, 33% Norway</t>
  </si>
  <si>
    <t>Of Sweden's 17 declined decisions, 11 gave 'not enough proof yet' as the reason. Denmark: 5 of 14. Norway: 5 of 15.</t>
  </si>
  <si>
    <t>Sheet 10 - reason-for-decline table</t>
  </si>
  <si>
    <t>When Sweden says no, it's far more likely than its neighbors to say 'we're not convinced by the evidence yet,' rather than some other reason.</t>
  </si>
  <si>
    <t>Important nuance: Sweden doesn't say no more often overall than Denmark or Norway - the rates of declining are similar across all three. This is specifically about the REASON given for a no, not about Sweden being stricter in general. And price is still the single biggest reason for a no everywhere, including Sweden - this finding doesn't replace that, it sits alongside it.</t>
  </si>
  <si>
    <t>Where that uncertainty concern concentrates</t>
  </si>
  <si>
    <t>7 of 15 ("nearly half")</t>
  </si>
  <si>
    <t>Same figure as the slide-1 gene-therapy stat, said a different way: Zolgensma, Skysona, Hemgenix, Zynteglo, and Kymriah are the named examples (Roctavian and Kymriah's second use are the other two).</t>
  </si>
  <si>
    <t>Repeating this number on slide 2 to land the point: this is where Sweden's caution really lives - gene and cell therapies.</t>
  </si>
  <si>
    <t>Same small-sample note as slide 1: 15 drugs total, so a couple of cases either way would shift this.</t>
  </si>
  <si>
    <t>Reminder: price still matters everywhere</t>
  </si>
  <si>
    <t>(stated as text, no number on slide)</t>
  </si>
  <si>
    <t>Not a calculated figure - this is a qualitative reminder, not a stat.</t>
  </si>
  <si>
    <t>Sheet 07 / Sheet 10</t>
  </si>
  <si>
    <t>We added this line so nobody walks away thinking price doesn't matter in Sweden. It's still the single biggest reason any drug gets turned down, in every country - the uncertainty pattern is an extra layer on top of that, not a replacement for it.</t>
  </si>
  <si>
    <t>If someone asks for the exact price-vs-uncertainty split, that's available in sheet 07's reason-for-decline counts - just not pulled into a single number here.</t>
  </si>
  <si>
    <t>"WHAT SWEDEN NEEDS TO DO" - the 4 recommendations on the slide</t>
  </si>
  <si>
    <t>#</t>
  </si>
  <si>
    <t>Recommendation (as on slide)</t>
  </si>
  <si>
    <t>Backed up by</t>
  </si>
  <si>
    <t>Why we're saying this</t>
  </si>
  <si>
    <t>1</t>
  </si>
  <si>
    <t>Treat evidence uncertainty - not price - as the real barrier for advanced therapies.</t>
  </si>
  <si>
    <t>Sheet 10, company &amp; reason tables</t>
  </si>
  <si>
    <t>This is the headline finding restated as advice: uncertainty about the evidence is what makes Sweden different from Denmark and Norway. Price matters everywhere, so it's not the thing that explains Sweden specifically.</t>
  </si>
  <si>
    <t>2</t>
  </si>
  <si>
    <t>Use Sweden's own existing tools (subgroup access, mandatory follow-up, registry tracking) more systematically for gene/cell therapies.</t>
  </si>
  <si>
    <t>Sheet 10 - Spinraza, Crysvita, Kaftrio, Qalsody precedent</t>
  </si>
  <si>
    <t>These 4 drugs already got accepted in Sweden well above its usual price threshold, specifically because these tools were used. The tools clearly work - they just aren't being applied consistently to gene and cell therapies yet.</t>
  </si>
  <si>
    <t>3</t>
  </si>
  <si>
    <t>Build a clear path to revisit "uncertain" declines as real-world data matures.</t>
  </si>
  <si>
    <t>Sheet 10 - uncertainty findings</t>
  </si>
  <si>
    <t>If the real issue is 'not enough proof yet' rather than price, then a no today doesn't have to be permanent - it should be revisited once more real-world evidence comes in.</t>
  </si>
  <si>
    <t>4</t>
  </si>
  <si>
    <t>Watch the 2023-2025 dip closely - it's the most recent signal.</t>
  </si>
  <si>
    <t>Sheet 01 + Sheet 10 - year-by-year and period tables</t>
  </si>
  <si>
    <t>Both ways of slicing the recent years (year-by-year, and grouped into periods) show Sweden's most recent results running behind Denmark's. We're flagging this as the most current, actionable signal - not just the long-run average.</t>
  </si>
  <si>
    <t>Legend: yellow fill = the exact number printed on a slide. "In plain numbers" spells out what's actually behind that number, in plain language. The full statistical workings (confidence intervals, significance tests) live in the Statistical Notes sheet and were deliberately left off the slides themselves - this sheet is the readable bridge between the two.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</si>
</sst>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quot;x&quot;"/>
  </numFmts>
  <fonts count="26" x14ac:knownFonts="1">
    <font>
      <sz val="11"/>
      <color theme="1"/>
      <name val="Calibri"/>
      <family val="2"/>
      <scheme val="minor"/>
    </font>
    <font>
      <b/>
      <sz val="10"/>
      <color rgb="FFFFFFFF"/>
      <name val="Arial"/>
    </font>
    <font>
      <sz val="10"/>
      <name val="Arial"/>
    </font>
    <font>
      <b/>
      <sz val="14"/>
      <color rgb="FF1F4E78"/>
      <name val="Arial"/>
    </font>
    <font>
      <i/>
      <sz val="10"/>
      <color rgb="FF595959"/>
      <name val="Arial"/>
    </font>
    <font>
      <b/>
      <sz val="12"/>
      <color rgb="FF1F4E78"/>
      <name val="Arial"/>
    </font>
    <font>
      <b/>
      <sz val="11"/>
      <color rgb="FF1F4E78"/>
      <name val="Arial"/>
    </font>
    <font>
      <b/>
      <sz val="10"/>
      <name val="Arial"/>
    </font>
    <font>
      <i/>
      <sz val="9"/>
      <color rgb="FF808080"/>
      <name val="Arial"/>
    </font>
    <font>
      <b/>
      <sz val="10"/>
      <color rgb="FF0000FF"/>
      <name val="Arial"/>
    </font>
    <font>
      <sz val="10"/>
      <color rgb="FF0000FF"/>
      <name val="Arial"/>
    </font>
    <font>
      <i/>
      <sz val="9"/>
      <name val="Arial"/>
    </font>
    <font>
      <sz val="9"/>
      <color rgb="FF808080"/>
      <name val="Arial"/>
    </font>
    <font>
      <b/>
      <sz val="10"/>
      <color rgb="FF7F6000"/>
      <name val="Arial"/>
    </font>
    <font>
      <sz val="10"/>
      <color rgb="FF3B3B00"/>
      <name val="Arial"/>
    </font>
    <font>
      <b/>
      <sz val="12"/>
      <name val="Arial"/>
    </font>
    <font>
      <b/>
      <sz val="12"/>
      <color rgb="FF1F7A1F"/>
      <name val="Arial"/>
    </font>
    <font>
      <b/>
      <sz val="12"/>
      <color rgb="FFC00000"/>
      <name val="Arial"/>
    </font>
    <font>
      <b/>
      <sz val="11"/>
      <color rgb="FFC00000"/>
      <name val="Arial"/>
    </font>
    <font>
      <b/>
      <sz val="11"/>
      <color rgb="FFFFFFFF"/>
      <name val="Arial"/>
    </font>
    <font>
      <sz val="10.5"/>
      <color rgb="FFFFFFFF"/>
      <name val="Arial"/>
    </font>
    <font>
      <i/>
      <sz val="9"/>
      <color rgb="FFFFFFFF"/>
      <name val="Arial"/>
    </font>
    <font>
      <b/>
      <sz val="10"/>
      <color rgb="FF000000"/>
      <name val="Arial"/>
    </font>
    <font>
      <i/>
      <sz val="9"/>
      <color rgb="FFC00000"/>
      <name val="Arial"/>
    </font>
    <font>
      <b/>
      <sz val="11"/>
      <color rgb="FF1F4E78"/>
      <name val="Arial"/>
      <family val="2"/>
    </font>
    <font>
      <sz val="10"/>
      <color rgb="FF3B3B00"/>
      <name val="Arial"/>
      <family val="2"/>
    </font>
  </fonts>
  <fills count="6">
    <fill>
      <patternFill patternType="none"/>
    </fill>
    <fill>
      <patternFill patternType="gray125"/>
    </fill>
    <fill>
      <patternFill patternType="solid">
        <fgColor rgb="FF1F4E78"/>
      </patternFill>
    </fill>
    <fill>
      <patternFill patternType="solid">
        <fgColor rgb="FFFFF2CC"/>
      </patternFill>
    </fill>
    <fill>
      <patternFill patternType="solid">
        <fgColor rgb="FFFFFF00"/>
      </patternFill>
    </fill>
    <fill>
      <patternFill patternType="solid">
        <fgColor rgb="FFFFFF00"/>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45">
    <xf numFmtId="0" fontId="0" fillId="0" borderId="0" xfId="0"/>
    <xf numFmtId="0" fontId="1" fillId="2" borderId="0" xfId="0" applyFont="1" applyFill="1" applyAlignment="1">
      <alignment horizontal="center" vertical="center" wrapText="1"/>
    </xf>
    <xf numFmtId="0" fontId="1" fillId="2" borderId="0" xfId="0" applyFont="1" applyFill="1"/>
    <xf numFmtId="0" fontId="2" fillId="0" borderId="0" xfId="0" applyFont="1"/>
    <xf numFmtId="0" fontId="3" fillId="0" borderId="0" xfId="0" applyFont="1"/>
    <xf numFmtId="0" fontId="4" fillId="0" borderId="0" xfId="0" applyFont="1" applyAlignment="1">
      <alignment vertical="top" wrapText="1"/>
    </xf>
    <xf numFmtId="0" fontId="5" fillId="0" borderId="0" xfId="0" applyFont="1"/>
    <xf numFmtId="0" fontId="2" fillId="0" borderId="0" xfId="0" applyFont="1" applyAlignment="1">
      <alignment vertical="top" wrapText="1"/>
    </xf>
    <xf numFmtId="0" fontId="4" fillId="0" borderId="0" xfId="0" applyFont="1" applyAlignment="1">
      <alignment wrapText="1"/>
    </xf>
    <xf numFmtId="0" fontId="6" fillId="0" borderId="0" xfId="0" applyFont="1"/>
    <xf numFmtId="0" fontId="1" fillId="2" borderId="1" xfId="0" applyFont="1" applyFill="1" applyBorder="1" applyAlignment="1">
      <alignment horizontal="center" vertical="center" wrapText="1"/>
    </xf>
    <xf numFmtId="0" fontId="7" fillId="0" borderId="0" xfId="0" applyFont="1"/>
    <xf numFmtId="164" fontId="0" fillId="0" borderId="0" xfId="0" applyNumberFormat="1"/>
    <xf numFmtId="0" fontId="8" fillId="0" borderId="0" xfId="0" applyFont="1" applyAlignment="1">
      <alignment vertical="top" wrapText="1"/>
    </xf>
    <xf numFmtId="164" fontId="7" fillId="0" borderId="0" xfId="0" applyNumberFormat="1" applyFont="1"/>
    <xf numFmtId="3" fontId="9" fillId="0" borderId="0" xfId="0" applyNumberFormat="1" applyFont="1"/>
    <xf numFmtId="3" fontId="2" fillId="0" borderId="0" xfId="0" applyNumberFormat="1" applyFont="1"/>
    <xf numFmtId="0" fontId="8" fillId="0" borderId="0" xfId="0" applyFont="1"/>
    <xf numFmtId="165" fontId="0" fillId="0" borderId="0" xfId="0" applyNumberFormat="1"/>
    <xf numFmtId="0" fontId="10" fillId="0" borderId="0" xfId="0" applyFont="1"/>
    <xf numFmtId="0" fontId="11" fillId="0" borderId="0" xfId="0" applyFont="1"/>
    <xf numFmtId="164" fontId="12" fillId="0" borderId="0" xfId="0" applyNumberFormat="1" applyFont="1"/>
    <xf numFmtId="0" fontId="13" fillId="3" borderId="0" xfId="0" applyFont="1" applyFill="1"/>
    <xf numFmtId="0" fontId="0" fillId="3" borderId="0" xfId="0" applyFill="1"/>
    <xf numFmtId="0" fontId="15" fillId="0" borderId="0" xfId="0" applyFont="1"/>
    <xf numFmtId="0" fontId="16" fillId="0" borderId="0" xfId="0" applyFont="1"/>
    <xf numFmtId="0" fontId="17" fillId="0" borderId="0" xfId="0" applyFont="1"/>
    <xf numFmtId="0" fontId="18" fillId="0" borderId="0" xfId="0" applyFont="1"/>
    <xf numFmtId="166" fontId="18" fillId="0" borderId="0" xfId="0" applyNumberFormat="1" applyFont="1"/>
    <xf numFmtId="0" fontId="19" fillId="2" borderId="0" xfId="0" applyFont="1" applyFill="1"/>
    <xf numFmtId="0" fontId="0" fillId="2" borderId="0" xfId="0" applyFill="1"/>
    <xf numFmtId="0" fontId="2" fillId="0" borderId="1" xfId="0" applyFont="1" applyBorder="1" applyAlignment="1">
      <alignment vertical="top" wrapText="1"/>
    </xf>
    <xf numFmtId="0" fontId="22" fillId="4" borderId="1" xfId="0" applyFont="1" applyFill="1" applyBorder="1" applyAlignment="1">
      <alignment horizontal="center" vertical="top" wrapText="1"/>
    </xf>
    <xf numFmtId="0" fontId="23" fillId="0" borderId="1" xfId="0" applyFont="1" applyBorder="1" applyAlignment="1">
      <alignment vertical="top" wrapText="1"/>
    </xf>
    <xf numFmtId="0" fontId="7" fillId="0" borderId="1" xfId="0" applyFont="1" applyBorder="1" applyAlignment="1">
      <alignment horizontal="center"/>
    </xf>
    <xf numFmtId="0" fontId="21" fillId="2" borderId="0" xfId="0" applyFont="1" applyFill="1" applyAlignment="1">
      <alignment vertical="top" wrapText="1"/>
    </xf>
    <xf numFmtId="0" fontId="0" fillId="0" borderId="0" xfId="0"/>
    <xf numFmtId="0" fontId="20" fillId="2" borderId="0" xfId="0" applyFont="1" applyFill="1" applyAlignment="1">
      <alignment vertical="top" wrapText="1"/>
    </xf>
    <xf numFmtId="0" fontId="14" fillId="3" borderId="0" xfId="0" applyFont="1" applyFill="1" applyAlignment="1">
      <alignment vertical="top" wrapText="1"/>
    </xf>
    <xf numFmtId="0" fontId="2" fillId="0" borderId="1" xfId="0" applyFont="1" applyBorder="1" applyAlignment="1">
      <alignment vertical="top" wrapText="1"/>
    </xf>
    <xf numFmtId="0" fontId="0" fillId="0" borderId="1" xfId="0" applyBorder="1"/>
    <xf numFmtId="0" fontId="1" fillId="2" borderId="0" xfId="0" applyFont="1" applyFill="1"/>
    <xf numFmtId="0" fontId="24" fillId="0" borderId="0" xfId="0" applyFont="1"/>
    <xf numFmtId="0" fontId="25" fillId="3" borderId="0" xfId="0" applyFont="1" applyFill="1" applyAlignment="1">
      <alignment vertical="top" wrapText="1"/>
    </xf>
    <xf numFmtId="0" fontId="8" fillId="5" borderId="0" xfId="0" applyFont="1"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t>% Positive access of assessed, by country (with implicit 95% CI table above)</a:t>
            </a:r>
          </a:p>
        </c:rich>
      </c:tx>
      <c:overlay val="1"/>
    </c:title>
    <c:autoTitleDeleted val="0"/>
    <c:plotArea>
      <c:layout/>
      <c:barChart>
        <c:barDir val="col"/>
        <c:grouping val="clustered"/>
        <c:varyColors val="1"/>
        <c:ser>
          <c:idx val="0"/>
          <c:order val="0"/>
          <c:spPr>
            <a:ln>
              <a:prstDash val="solid"/>
            </a:ln>
          </c:spPr>
          <c:invertIfNegative val="1"/>
          <c:cat>
            <c:strRef>
              <c:f>'01 Country Attractiveness'!$B$6:$B$8</c:f>
              <c:strCache>
                <c:ptCount val="3"/>
                <c:pt idx="0">
                  <c:v>Country</c:v>
                </c:pt>
                <c:pt idx="1">
                  <c:v>Sweden</c:v>
                </c:pt>
                <c:pt idx="2">
                  <c:v>Denmark</c:v>
                </c:pt>
              </c:strCache>
            </c:strRef>
          </c:cat>
          <c:val>
            <c:numRef>
              <c:f>'01 Country Attractiveness'!$K$6:$K$8</c:f>
              <c:numCache>
                <c:formatCode>0.0%</c:formatCode>
                <c:ptCount val="3"/>
                <c:pt idx="0" formatCode="General">
                  <c:v>0</c:v>
                </c:pt>
                <c:pt idx="1">
                  <c:v>0.53061224489795922</c:v>
                </c:pt>
                <c:pt idx="2">
                  <c:v>0.625</c:v>
                </c:pt>
              </c:numCache>
            </c:numRef>
          </c:val>
          <c:extLst>
            <c:ext xmlns:c16="http://schemas.microsoft.com/office/drawing/2014/chart" uri="{C3380CC4-5D6E-409C-BE32-E72D297353CC}">
              <c16:uniqueId val="{00000000-B959-D141-BD76-9B5230407C6C}"/>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title>
          <c:tx>
            <c:rich>
              <a:bodyPr/>
              <a:lstStyle/>
              <a:p>
                <a:pPr>
                  <a:defRPr/>
                </a:pPr>
                <a:r>
                  <a:t>Country</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t>% positive/restricted-positive</a:t>
                </a:r>
              </a:p>
            </c:rich>
          </c:tx>
          <c:overlay val="1"/>
        </c:title>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t>Positive-access rate trend over time, by country</a:t>
            </a:r>
          </a:p>
        </c:rich>
      </c:tx>
      <c:overlay val="1"/>
    </c:title>
    <c:autoTitleDeleted val="0"/>
    <c:plotArea>
      <c:layout/>
      <c:lineChart>
        <c:grouping val="standard"/>
        <c:varyColors val="1"/>
        <c:ser>
          <c:idx val="0"/>
          <c:order val="0"/>
          <c:tx>
            <c:strRef>
              <c:f>'01 Country Attractiveness'!$C$14</c:f>
              <c:strCache>
                <c:ptCount val="1"/>
                <c:pt idx="0">
                  <c:v>Pre-2022</c:v>
                </c:pt>
              </c:strCache>
            </c:strRef>
          </c:tx>
          <c:spPr>
            <a:ln>
              <a:prstDash val="solid"/>
            </a:ln>
          </c:spPr>
          <c:marker>
            <c:symbol val="none"/>
          </c:marker>
          <c:cat>
            <c:strRef>
              <c:f>'01 Country Attractiveness'!$B$15:$B$17</c:f>
              <c:strCache>
                <c:ptCount val="3"/>
                <c:pt idx="0">
                  <c:v>Sweden</c:v>
                </c:pt>
                <c:pt idx="1">
                  <c:v>Denmark</c:v>
                </c:pt>
                <c:pt idx="2">
                  <c:v>Norway</c:v>
                </c:pt>
              </c:strCache>
            </c:strRef>
          </c:cat>
          <c:val>
            <c:numRef>
              <c:f>'01 Country Attractiveness'!$C$15:$C$16</c:f>
              <c:numCache>
                <c:formatCode>0.0%</c:formatCode>
                <c:ptCount val="2"/>
                <c:pt idx="0">
                  <c:v>0.7857142857142857</c:v>
                </c:pt>
                <c:pt idx="1">
                  <c:v>0.73333333333333328</c:v>
                </c:pt>
              </c:numCache>
            </c:numRef>
          </c:val>
          <c:smooth val="1"/>
          <c:extLst>
            <c:ext xmlns:c16="http://schemas.microsoft.com/office/drawing/2014/chart" uri="{C3380CC4-5D6E-409C-BE32-E72D297353CC}">
              <c16:uniqueId val="{00000000-5D4B-A64F-94DC-3218C9CEF0D5}"/>
            </c:ext>
          </c:extLst>
        </c:ser>
        <c:ser>
          <c:idx val="1"/>
          <c:order val="1"/>
          <c:tx>
            <c:strRef>
              <c:f>'01 Country Attractiveness'!$D$14</c:f>
              <c:strCache>
                <c:ptCount val="1"/>
                <c:pt idx="0">
                  <c:v>2022-2023</c:v>
                </c:pt>
              </c:strCache>
            </c:strRef>
          </c:tx>
          <c:spPr>
            <a:ln>
              <a:prstDash val="solid"/>
            </a:ln>
          </c:spPr>
          <c:marker>
            <c:symbol val="none"/>
          </c:marker>
          <c:cat>
            <c:strRef>
              <c:f>'01 Country Attractiveness'!$B$15:$B$17</c:f>
              <c:strCache>
                <c:ptCount val="3"/>
                <c:pt idx="0">
                  <c:v>Sweden</c:v>
                </c:pt>
                <c:pt idx="1">
                  <c:v>Denmark</c:v>
                </c:pt>
                <c:pt idx="2">
                  <c:v>Norway</c:v>
                </c:pt>
              </c:strCache>
            </c:strRef>
          </c:cat>
          <c:val>
            <c:numRef>
              <c:f>'01 Country Attractiveness'!$D$15:$D$16</c:f>
              <c:numCache>
                <c:formatCode>0.0%</c:formatCode>
                <c:ptCount val="2"/>
                <c:pt idx="0">
                  <c:v>0.44444444444444442</c:v>
                </c:pt>
                <c:pt idx="1">
                  <c:v>0.5</c:v>
                </c:pt>
              </c:numCache>
            </c:numRef>
          </c:val>
          <c:smooth val="1"/>
          <c:extLst>
            <c:ext xmlns:c16="http://schemas.microsoft.com/office/drawing/2014/chart" uri="{C3380CC4-5D6E-409C-BE32-E72D297353CC}">
              <c16:uniqueId val="{00000001-5D4B-A64F-94DC-3218C9CEF0D5}"/>
            </c:ext>
          </c:extLst>
        </c:ser>
        <c:ser>
          <c:idx val="2"/>
          <c:order val="2"/>
          <c:tx>
            <c:strRef>
              <c:f>'01 Country Attractiveness'!$E$14</c:f>
              <c:strCache>
                <c:ptCount val="1"/>
                <c:pt idx="0">
                  <c:v>2024-2026</c:v>
                </c:pt>
              </c:strCache>
            </c:strRef>
          </c:tx>
          <c:spPr>
            <a:ln>
              <a:prstDash val="solid"/>
            </a:ln>
          </c:spPr>
          <c:marker>
            <c:symbol val="none"/>
          </c:marker>
          <c:cat>
            <c:strRef>
              <c:f>'01 Country Attractiveness'!$B$15:$B$17</c:f>
              <c:strCache>
                <c:ptCount val="3"/>
                <c:pt idx="0">
                  <c:v>Sweden</c:v>
                </c:pt>
                <c:pt idx="1">
                  <c:v>Denmark</c:v>
                </c:pt>
                <c:pt idx="2">
                  <c:v>Norway</c:v>
                </c:pt>
              </c:strCache>
            </c:strRef>
          </c:cat>
          <c:val>
            <c:numRef>
              <c:f>'01 Country Attractiveness'!$E$15:$E$16</c:f>
              <c:numCache>
                <c:formatCode>0.0%</c:formatCode>
                <c:ptCount val="2"/>
                <c:pt idx="0">
                  <c:v>0.42857142857142855</c:v>
                </c:pt>
                <c:pt idx="1">
                  <c:v>0.6470588235294118</c:v>
                </c:pt>
              </c:numCache>
            </c:numRef>
          </c:val>
          <c:smooth val="1"/>
          <c:extLst>
            <c:ext xmlns:c16="http://schemas.microsoft.com/office/drawing/2014/chart" uri="{C3380CC4-5D6E-409C-BE32-E72D297353CC}">
              <c16:uniqueId val="{00000002-5D4B-A64F-94DC-3218C9CEF0D5}"/>
            </c:ext>
          </c:extLst>
        </c:ser>
        <c:dLbls>
          <c:showLegendKey val="0"/>
          <c:showVal val="0"/>
          <c:showCatName val="0"/>
          <c:showSerName val="0"/>
          <c:showPercent val="0"/>
          <c:showBubbleSize val="0"/>
        </c:dLbls>
        <c:smooth val="0"/>
        <c:axId val="10"/>
        <c:axId val="100"/>
      </c:lineChart>
      <c:catAx>
        <c:axId val="10"/>
        <c:scaling>
          <c:orientation val="minMax"/>
        </c:scaling>
        <c:delete val="1"/>
        <c:axPos val="b"/>
        <c:title>
          <c:tx>
            <c:rich>
              <a:bodyPr/>
              <a:lstStyle/>
              <a:p>
                <a:pPr>
                  <a:defRPr/>
                </a:pPr>
                <a:r>
                  <a:t>Period</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t>% positive</a:t>
                </a:r>
              </a:p>
            </c:rich>
          </c:tx>
          <c:overlay val="1"/>
        </c:title>
        <c:numFmt formatCode="0.0%"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t>Decision process type, by country</a:t>
            </a:r>
          </a:p>
        </c:rich>
      </c:tx>
      <c:overlay val="1"/>
    </c:title>
    <c:autoTitleDeleted val="0"/>
    <c:plotArea>
      <c:layout/>
      <c:barChart>
        <c:barDir val="bar"/>
        <c:grouping val="clustered"/>
        <c:varyColors val="1"/>
        <c:ser>
          <c:idx val="0"/>
          <c:order val="0"/>
          <c:tx>
            <c:strRef>
              <c:f>'02 Access Pathways'!$C$6</c:f>
              <c:strCache>
                <c:ptCount val="1"/>
                <c:pt idx="0">
                  <c:v>Sweden</c:v>
                </c:pt>
              </c:strCache>
            </c:strRef>
          </c:tx>
          <c:spPr>
            <a:ln>
              <a:prstDash val="solid"/>
            </a:ln>
          </c:spPr>
          <c:invertIfNegative val="1"/>
          <c:cat>
            <c:strRef>
              <c:f>'02 Access Pathways'!$B$7:$B$13</c:f>
              <c:strCache>
                <c:ptCount val="7"/>
                <c:pt idx="0">
                  <c:v>Full / standard HTA</c:v>
                </c:pt>
                <c:pt idx="1">
                  <c:v>Rapid / simplified HTA</c:v>
                </c:pt>
                <c:pt idx="2">
                  <c:v>Joint Nordic HTA (FINOSE/JNHB)</c:v>
                </c:pt>
                <c:pt idx="3">
                  <c:v>Managed introduction / price negotiation</c:v>
                </c:pt>
                <c:pt idx="4">
                  <c:v>Early / horizon scanning only</c:v>
                </c:pt>
                <c:pt idx="5">
                  <c:v>No formal assessment / not assessed</c:v>
                </c:pt>
                <c:pt idx="6">
                  <c:v>Other / unclassified process</c:v>
                </c:pt>
              </c:strCache>
            </c:strRef>
          </c:cat>
          <c:val>
            <c:numRef>
              <c:f>'02 Access Pathways'!$C$7:$C$13</c:f>
              <c:numCache>
                <c:formatCode>General</c:formatCode>
                <c:ptCount val="7"/>
                <c:pt idx="0">
                  <c:v>18</c:v>
                </c:pt>
                <c:pt idx="1">
                  <c:v>0</c:v>
                </c:pt>
                <c:pt idx="2">
                  <c:v>2</c:v>
                </c:pt>
                <c:pt idx="3">
                  <c:v>12</c:v>
                </c:pt>
                <c:pt idx="4">
                  <c:v>2</c:v>
                </c:pt>
                <c:pt idx="5">
                  <c:v>2</c:v>
                </c:pt>
                <c:pt idx="6">
                  <c:v>22</c:v>
                </c:pt>
              </c:numCache>
            </c:numRef>
          </c:val>
          <c:extLst>
            <c:ext xmlns:c16="http://schemas.microsoft.com/office/drawing/2014/chart" uri="{C3380CC4-5D6E-409C-BE32-E72D297353CC}">
              <c16:uniqueId val="{00000000-D033-934D-A33A-C6BAA33D2543}"/>
            </c:ext>
          </c:extLst>
        </c:ser>
        <c:ser>
          <c:idx val="1"/>
          <c:order val="1"/>
          <c:tx>
            <c:strRef>
              <c:f>'02 Access Pathways'!$D$6</c:f>
              <c:strCache>
                <c:ptCount val="1"/>
                <c:pt idx="0">
                  <c:v>Denmark</c:v>
                </c:pt>
              </c:strCache>
            </c:strRef>
          </c:tx>
          <c:spPr>
            <a:ln>
              <a:prstDash val="solid"/>
            </a:ln>
          </c:spPr>
          <c:invertIfNegative val="1"/>
          <c:cat>
            <c:strRef>
              <c:f>'02 Access Pathways'!$B$7:$B$13</c:f>
              <c:strCache>
                <c:ptCount val="7"/>
                <c:pt idx="0">
                  <c:v>Full / standard HTA</c:v>
                </c:pt>
                <c:pt idx="1">
                  <c:v>Rapid / simplified HTA</c:v>
                </c:pt>
                <c:pt idx="2">
                  <c:v>Joint Nordic HTA (FINOSE/JNHB)</c:v>
                </c:pt>
                <c:pt idx="3">
                  <c:v>Managed introduction / price negotiation</c:v>
                </c:pt>
                <c:pt idx="4">
                  <c:v>Early / horizon scanning only</c:v>
                </c:pt>
                <c:pt idx="5">
                  <c:v>No formal assessment / not assessed</c:v>
                </c:pt>
                <c:pt idx="6">
                  <c:v>Other / unclassified process</c:v>
                </c:pt>
              </c:strCache>
            </c:strRef>
          </c:cat>
          <c:val>
            <c:numRef>
              <c:f>'02 Access Pathways'!$D$7:$D$13</c:f>
              <c:numCache>
                <c:formatCode>General</c:formatCode>
                <c:ptCount val="7"/>
                <c:pt idx="0">
                  <c:v>20</c:v>
                </c:pt>
                <c:pt idx="1">
                  <c:v>0</c:v>
                </c:pt>
                <c:pt idx="2">
                  <c:v>2</c:v>
                </c:pt>
                <c:pt idx="3">
                  <c:v>4</c:v>
                </c:pt>
                <c:pt idx="4">
                  <c:v>0</c:v>
                </c:pt>
                <c:pt idx="5">
                  <c:v>6</c:v>
                </c:pt>
                <c:pt idx="6">
                  <c:v>26</c:v>
                </c:pt>
              </c:numCache>
            </c:numRef>
          </c:val>
          <c:extLst>
            <c:ext xmlns:c16="http://schemas.microsoft.com/office/drawing/2014/chart" uri="{C3380CC4-5D6E-409C-BE32-E72D297353CC}">
              <c16:uniqueId val="{00000001-D033-934D-A33A-C6BAA33D2543}"/>
            </c:ext>
          </c:extLst>
        </c:ser>
        <c:ser>
          <c:idx val="2"/>
          <c:order val="2"/>
          <c:tx>
            <c:strRef>
              <c:f>'02 Access Pathways'!$E$6</c:f>
              <c:strCache>
                <c:ptCount val="1"/>
                <c:pt idx="0">
                  <c:v>Norway</c:v>
                </c:pt>
              </c:strCache>
            </c:strRef>
          </c:tx>
          <c:spPr>
            <a:ln>
              <a:prstDash val="solid"/>
            </a:ln>
          </c:spPr>
          <c:invertIfNegative val="1"/>
          <c:cat>
            <c:strRef>
              <c:f>'02 Access Pathways'!$B$7:$B$13</c:f>
              <c:strCache>
                <c:ptCount val="7"/>
                <c:pt idx="0">
                  <c:v>Full / standard HTA</c:v>
                </c:pt>
                <c:pt idx="1">
                  <c:v>Rapid / simplified HTA</c:v>
                </c:pt>
                <c:pt idx="2">
                  <c:v>Joint Nordic HTA (FINOSE/JNHB)</c:v>
                </c:pt>
                <c:pt idx="3">
                  <c:v>Managed introduction / price negotiation</c:v>
                </c:pt>
                <c:pt idx="4">
                  <c:v>Early / horizon scanning only</c:v>
                </c:pt>
                <c:pt idx="5">
                  <c:v>No formal assessment / not assessed</c:v>
                </c:pt>
                <c:pt idx="6">
                  <c:v>Other / unclassified process</c:v>
                </c:pt>
              </c:strCache>
            </c:strRef>
          </c:cat>
          <c:val>
            <c:numRef>
              <c:f>'02 Access Pathways'!$E$7:$E$13</c:f>
              <c:numCache>
                <c:formatCode>General</c:formatCode>
                <c:ptCount val="7"/>
                <c:pt idx="0">
                  <c:v>5</c:v>
                </c:pt>
                <c:pt idx="1">
                  <c:v>8</c:v>
                </c:pt>
                <c:pt idx="2">
                  <c:v>3</c:v>
                </c:pt>
                <c:pt idx="3">
                  <c:v>27</c:v>
                </c:pt>
                <c:pt idx="4">
                  <c:v>2</c:v>
                </c:pt>
                <c:pt idx="5">
                  <c:v>1</c:v>
                </c:pt>
                <c:pt idx="6">
                  <c:v>12</c:v>
                </c:pt>
              </c:numCache>
            </c:numRef>
          </c:val>
          <c:extLst>
            <c:ext xmlns:c16="http://schemas.microsoft.com/office/drawing/2014/chart" uri="{C3380CC4-5D6E-409C-BE32-E72D297353CC}">
              <c16:uniqueId val="{00000002-D033-934D-A33A-C6BAA33D2543}"/>
            </c:ext>
          </c:extLst>
        </c:ser>
        <c:dLbls>
          <c:showLegendKey val="0"/>
          <c:showVal val="0"/>
          <c:showCatName val="0"/>
          <c:showSerName val="0"/>
          <c:showPercent val="0"/>
          <c:showBubbleSize val="0"/>
        </c:dLbls>
        <c:gapWidth val="150"/>
        <c:axId val="10"/>
        <c:axId val="100"/>
      </c:barChart>
      <c:catAx>
        <c:axId val="10"/>
        <c:scaling>
          <c:orientation val="minMax"/>
        </c:scaling>
        <c:delete val="1"/>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b"/>
        <c:majorGridlines/>
        <c:numFmt formatCode="General"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t>Broad vs Restricted access, by decision process type</a:t>
            </a:r>
          </a:p>
        </c:rich>
      </c:tx>
      <c:overlay val="1"/>
    </c:title>
    <c:autoTitleDeleted val="0"/>
    <c:plotArea>
      <c:layout/>
      <c:barChart>
        <c:barDir val="bar"/>
        <c:grouping val="clustered"/>
        <c:varyColors val="1"/>
        <c:ser>
          <c:idx val="0"/>
          <c:order val="0"/>
          <c:tx>
            <c:strRef>
              <c:f>'02 Access Pathways'!$C$34</c:f>
              <c:strCache>
                <c:ptCount val="1"/>
                <c:pt idx="0">
                  <c:v>Broad access</c:v>
                </c:pt>
              </c:strCache>
            </c:strRef>
          </c:tx>
          <c:spPr>
            <a:ln>
              <a:prstDash val="solid"/>
            </a:ln>
          </c:spPr>
          <c:invertIfNegative val="1"/>
          <c:cat>
            <c:strRef>
              <c:f>'02 Access Pathways'!$B$35:$B$41</c:f>
              <c:strCache>
                <c:ptCount val="7"/>
                <c:pt idx="0">
                  <c:v>Full / standard HTA</c:v>
                </c:pt>
                <c:pt idx="1">
                  <c:v>Rapid / simplified HTA</c:v>
                </c:pt>
                <c:pt idx="2">
                  <c:v>Joint Nordic HTA (FINOSE/JNHB)</c:v>
                </c:pt>
                <c:pt idx="3">
                  <c:v>Managed introduction / price negotiation</c:v>
                </c:pt>
                <c:pt idx="4">
                  <c:v>Early / horizon scanning only</c:v>
                </c:pt>
                <c:pt idx="5">
                  <c:v>No formal assessment / not assessed</c:v>
                </c:pt>
                <c:pt idx="6">
                  <c:v>Other / unclassified process</c:v>
                </c:pt>
              </c:strCache>
            </c:strRef>
          </c:cat>
          <c:val>
            <c:numRef>
              <c:f>'02 Access Pathways'!$C$35:$C$41</c:f>
              <c:numCache>
                <c:formatCode>General</c:formatCode>
                <c:ptCount val="7"/>
                <c:pt idx="0">
                  <c:v>5</c:v>
                </c:pt>
                <c:pt idx="1">
                  <c:v>4</c:v>
                </c:pt>
                <c:pt idx="2">
                  <c:v>2</c:v>
                </c:pt>
                <c:pt idx="3">
                  <c:v>11</c:v>
                </c:pt>
                <c:pt idx="4">
                  <c:v>0</c:v>
                </c:pt>
                <c:pt idx="5">
                  <c:v>0</c:v>
                </c:pt>
                <c:pt idx="6">
                  <c:v>13</c:v>
                </c:pt>
              </c:numCache>
            </c:numRef>
          </c:val>
          <c:extLst>
            <c:ext xmlns:c16="http://schemas.microsoft.com/office/drawing/2014/chart" uri="{C3380CC4-5D6E-409C-BE32-E72D297353CC}">
              <c16:uniqueId val="{00000000-6CB3-F64F-A5FE-281CC9C977E8}"/>
            </c:ext>
          </c:extLst>
        </c:ser>
        <c:ser>
          <c:idx val="1"/>
          <c:order val="1"/>
          <c:tx>
            <c:strRef>
              <c:f>'02 Access Pathways'!$D$34</c:f>
              <c:strCache>
                <c:ptCount val="1"/>
                <c:pt idx="0">
                  <c:v>Restricted access</c:v>
                </c:pt>
              </c:strCache>
            </c:strRef>
          </c:tx>
          <c:spPr>
            <a:ln>
              <a:prstDash val="solid"/>
            </a:ln>
          </c:spPr>
          <c:invertIfNegative val="1"/>
          <c:cat>
            <c:strRef>
              <c:f>'02 Access Pathways'!$B$35:$B$41</c:f>
              <c:strCache>
                <c:ptCount val="7"/>
                <c:pt idx="0">
                  <c:v>Full / standard HTA</c:v>
                </c:pt>
                <c:pt idx="1">
                  <c:v>Rapid / simplified HTA</c:v>
                </c:pt>
                <c:pt idx="2">
                  <c:v>Joint Nordic HTA (FINOSE/JNHB)</c:v>
                </c:pt>
                <c:pt idx="3">
                  <c:v>Managed introduction / price negotiation</c:v>
                </c:pt>
                <c:pt idx="4">
                  <c:v>Early / horizon scanning only</c:v>
                </c:pt>
                <c:pt idx="5">
                  <c:v>No formal assessment / not assessed</c:v>
                </c:pt>
                <c:pt idx="6">
                  <c:v>Other / unclassified process</c:v>
                </c:pt>
              </c:strCache>
            </c:strRef>
          </c:cat>
          <c:val>
            <c:numRef>
              <c:f>'02 Access Pathways'!$D$35:$D$41</c:f>
              <c:numCache>
                <c:formatCode>General</c:formatCode>
                <c:ptCount val="7"/>
                <c:pt idx="0">
                  <c:v>14</c:v>
                </c:pt>
                <c:pt idx="1">
                  <c:v>2</c:v>
                </c:pt>
                <c:pt idx="2">
                  <c:v>1</c:v>
                </c:pt>
                <c:pt idx="3">
                  <c:v>9</c:v>
                </c:pt>
                <c:pt idx="4">
                  <c:v>0</c:v>
                </c:pt>
                <c:pt idx="5">
                  <c:v>0</c:v>
                </c:pt>
                <c:pt idx="6">
                  <c:v>10</c:v>
                </c:pt>
              </c:numCache>
            </c:numRef>
          </c:val>
          <c:extLst>
            <c:ext xmlns:c16="http://schemas.microsoft.com/office/drawing/2014/chart" uri="{C3380CC4-5D6E-409C-BE32-E72D297353CC}">
              <c16:uniqueId val="{00000001-6CB3-F64F-A5FE-281CC9C977E8}"/>
            </c:ext>
          </c:extLst>
        </c:ser>
        <c:dLbls>
          <c:showLegendKey val="0"/>
          <c:showVal val="0"/>
          <c:showCatName val="0"/>
          <c:showSerName val="0"/>
          <c:showPercent val="0"/>
          <c:showBubbleSize val="0"/>
        </c:dLbls>
        <c:gapWidth val="150"/>
        <c:axId val="10"/>
        <c:axId val="100"/>
      </c:barChart>
      <c:catAx>
        <c:axId val="10"/>
        <c:scaling>
          <c:orientation val="minMax"/>
        </c:scaling>
        <c:delete val="1"/>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b"/>
        <c:majorGridlines/>
        <c:numFmt formatCode="General"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t>Broad vs Restricted access, by severity tier</a:t>
            </a:r>
          </a:p>
        </c:rich>
      </c:tx>
      <c:overlay val="1"/>
    </c:title>
    <c:autoTitleDeleted val="0"/>
    <c:plotArea>
      <c:layout/>
      <c:barChart>
        <c:barDir val="bar"/>
        <c:grouping val="clustered"/>
        <c:varyColors val="1"/>
        <c:ser>
          <c:idx val="0"/>
          <c:order val="0"/>
          <c:tx>
            <c:strRef>
              <c:f>'02 Access Pathways'!$C$62</c:f>
              <c:strCache>
                <c:ptCount val="1"/>
                <c:pt idx="0">
                  <c:v>Broad access</c:v>
                </c:pt>
              </c:strCache>
            </c:strRef>
          </c:tx>
          <c:spPr>
            <a:ln>
              <a:prstDash val="solid"/>
            </a:ln>
          </c:spPr>
          <c:invertIfNegative val="1"/>
          <c:cat>
            <c:strRef>
              <c:f>'02 Access Pathways'!$B$63:$B$65</c:f>
              <c:strCache>
                <c:ptCount val="3"/>
                <c:pt idx="0">
                  <c:v>Ultra-severe (immediately life-threatening)</c:v>
                </c:pt>
                <c:pt idx="1">
                  <c:v>Severe (progressive, life-shortening)</c:v>
                </c:pt>
                <c:pt idx="2">
                  <c:v>Serious (chronic, manageable)</c:v>
                </c:pt>
              </c:strCache>
            </c:strRef>
          </c:cat>
          <c:val>
            <c:numRef>
              <c:f>'02 Access Pathways'!$C$63:$C$65</c:f>
              <c:numCache>
                <c:formatCode>General</c:formatCode>
                <c:ptCount val="3"/>
                <c:pt idx="0">
                  <c:v>14</c:v>
                </c:pt>
                <c:pt idx="1">
                  <c:v>13</c:v>
                </c:pt>
                <c:pt idx="2">
                  <c:v>8</c:v>
                </c:pt>
              </c:numCache>
            </c:numRef>
          </c:val>
          <c:extLst>
            <c:ext xmlns:c16="http://schemas.microsoft.com/office/drawing/2014/chart" uri="{C3380CC4-5D6E-409C-BE32-E72D297353CC}">
              <c16:uniqueId val="{00000000-A7B5-3E41-90C4-ED4CC0891DB0}"/>
            </c:ext>
          </c:extLst>
        </c:ser>
        <c:ser>
          <c:idx val="1"/>
          <c:order val="1"/>
          <c:tx>
            <c:strRef>
              <c:f>'02 Access Pathways'!$D$62</c:f>
              <c:strCache>
                <c:ptCount val="1"/>
                <c:pt idx="0">
                  <c:v>Restricted access</c:v>
                </c:pt>
              </c:strCache>
            </c:strRef>
          </c:tx>
          <c:spPr>
            <a:ln>
              <a:prstDash val="solid"/>
            </a:ln>
          </c:spPr>
          <c:invertIfNegative val="1"/>
          <c:cat>
            <c:strRef>
              <c:f>'02 Access Pathways'!$B$63:$B$65</c:f>
              <c:strCache>
                <c:ptCount val="3"/>
                <c:pt idx="0">
                  <c:v>Ultra-severe (immediately life-threatening)</c:v>
                </c:pt>
                <c:pt idx="1">
                  <c:v>Severe (progressive, life-shortening)</c:v>
                </c:pt>
                <c:pt idx="2">
                  <c:v>Serious (chronic, manageable)</c:v>
                </c:pt>
              </c:strCache>
            </c:strRef>
          </c:cat>
          <c:val>
            <c:numRef>
              <c:f>'02 Access Pathways'!$D$63:$D$65</c:f>
              <c:numCache>
                <c:formatCode>General</c:formatCode>
                <c:ptCount val="3"/>
                <c:pt idx="0">
                  <c:v>11</c:v>
                </c:pt>
                <c:pt idx="1">
                  <c:v>15</c:v>
                </c:pt>
                <c:pt idx="2">
                  <c:v>10</c:v>
                </c:pt>
              </c:numCache>
            </c:numRef>
          </c:val>
          <c:extLst>
            <c:ext xmlns:c16="http://schemas.microsoft.com/office/drawing/2014/chart" uri="{C3380CC4-5D6E-409C-BE32-E72D297353CC}">
              <c16:uniqueId val="{00000001-A7B5-3E41-90C4-ED4CC0891DB0}"/>
            </c:ext>
          </c:extLst>
        </c:ser>
        <c:dLbls>
          <c:showLegendKey val="0"/>
          <c:showVal val="0"/>
          <c:showCatName val="0"/>
          <c:showSerName val="0"/>
          <c:showPercent val="0"/>
          <c:showBubbleSize val="0"/>
        </c:dLbls>
        <c:gapWidth val="150"/>
        <c:axId val="10"/>
        <c:axId val="100"/>
      </c:barChart>
      <c:catAx>
        <c:axId val="10"/>
        <c:scaling>
          <c:orientation val="minMax"/>
        </c:scaling>
        <c:delete val="1"/>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b"/>
        <c:majorGridlines/>
        <c:numFmt formatCode="General"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t>Sweden: ICER range vs WTP threshold by drug (where extractable)</a:t>
            </a:r>
          </a:p>
        </c:rich>
      </c:tx>
      <c:overlay val="1"/>
    </c:title>
    <c:autoTitleDeleted val="0"/>
    <c:plotArea>
      <c:layout/>
      <c:barChart>
        <c:barDir val="bar"/>
        <c:grouping val="clustered"/>
        <c:varyColors val="1"/>
        <c:ser>
          <c:idx val="0"/>
          <c:order val="0"/>
          <c:tx>
            <c:strRef>
              <c:f>'03 Severity &amp; WTP (Sweden)'!$E$21</c:f>
              <c:strCache>
                <c:ptCount val="1"/>
                <c:pt idx="0">
                  <c:v>ICER Min
(SEK/QALY)</c:v>
                </c:pt>
              </c:strCache>
            </c:strRef>
          </c:tx>
          <c:spPr>
            <a:ln>
              <a:prstDash val="solid"/>
            </a:ln>
          </c:spPr>
          <c:invertIfNegative val="1"/>
          <c:cat>
            <c:strRef>
              <c:f>'03 Severity &amp; WTP (Sweden)'!$B$22:$B$29</c:f>
              <c:strCache>
                <c:ptCount val="8"/>
                <c:pt idx="0">
                  <c:v>Zolgensma</c:v>
                </c:pt>
                <c:pt idx="1">
                  <c:v>Evrysdi</c:v>
                </c:pt>
                <c:pt idx="2">
                  <c:v>Spinraza</c:v>
                </c:pt>
                <c:pt idx="3">
                  <c:v>Filsuvez</c:v>
                </c:pt>
                <c:pt idx="4">
                  <c:v>Crysvita</c:v>
                </c:pt>
                <c:pt idx="5">
                  <c:v>Koselugo</c:v>
                </c:pt>
                <c:pt idx="6">
                  <c:v>Kaftrio</c:v>
                </c:pt>
                <c:pt idx="7">
                  <c:v>Qalsody</c:v>
                </c:pt>
              </c:strCache>
            </c:strRef>
          </c:cat>
          <c:val>
            <c:numRef>
              <c:f>'03 Severity &amp; WTP (Sweden)'!$E$22:$E$29</c:f>
              <c:numCache>
                <c:formatCode>#,##0</c:formatCode>
                <c:ptCount val="8"/>
                <c:pt idx="0">
                  <c:v>850000</c:v>
                </c:pt>
                <c:pt idx="1">
                  <c:v>800000</c:v>
                </c:pt>
                <c:pt idx="2">
                  <c:v>4100000</c:v>
                </c:pt>
                <c:pt idx="3">
                  <c:v>1200000</c:v>
                </c:pt>
                <c:pt idx="4">
                  <c:v>12000000</c:v>
                </c:pt>
                <c:pt idx="5">
                  <c:v>1756579</c:v>
                </c:pt>
                <c:pt idx="6">
                  <c:v>7700000</c:v>
                </c:pt>
                <c:pt idx="7">
                  <c:v>10600000</c:v>
                </c:pt>
              </c:numCache>
            </c:numRef>
          </c:val>
          <c:extLst>
            <c:ext xmlns:c16="http://schemas.microsoft.com/office/drawing/2014/chart" uri="{C3380CC4-5D6E-409C-BE32-E72D297353CC}">
              <c16:uniqueId val="{00000000-39EB-AC4F-932B-68FCC2F9B274}"/>
            </c:ext>
          </c:extLst>
        </c:ser>
        <c:ser>
          <c:idx val="1"/>
          <c:order val="1"/>
          <c:tx>
            <c:strRef>
              <c:f>'03 Severity &amp; WTP (Sweden)'!$F$21</c:f>
              <c:strCache>
                <c:ptCount val="1"/>
                <c:pt idx="0">
                  <c:v>ICER Max
(SEK/QALY)</c:v>
                </c:pt>
              </c:strCache>
            </c:strRef>
          </c:tx>
          <c:spPr>
            <a:ln>
              <a:prstDash val="solid"/>
            </a:ln>
          </c:spPr>
          <c:invertIfNegative val="1"/>
          <c:cat>
            <c:strRef>
              <c:f>'03 Severity &amp; WTP (Sweden)'!$B$22:$B$29</c:f>
              <c:strCache>
                <c:ptCount val="8"/>
                <c:pt idx="0">
                  <c:v>Zolgensma</c:v>
                </c:pt>
                <c:pt idx="1">
                  <c:v>Evrysdi</c:v>
                </c:pt>
                <c:pt idx="2">
                  <c:v>Spinraza</c:v>
                </c:pt>
                <c:pt idx="3">
                  <c:v>Filsuvez</c:v>
                </c:pt>
                <c:pt idx="4">
                  <c:v>Crysvita</c:v>
                </c:pt>
                <c:pt idx="5">
                  <c:v>Koselugo</c:v>
                </c:pt>
                <c:pt idx="6">
                  <c:v>Kaftrio</c:v>
                </c:pt>
                <c:pt idx="7">
                  <c:v>Qalsody</c:v>
                </c:pt>
              </c:strCache>
            </c:strRef>
          </c:cat>
          <c:val>
            <c:numRef>
              <c:f>'03 Severity &amp; WTP (Sweden)'!$F$22:$F$29</c:f>
              <c:numCache>
                <c:formatCode>#,##0</c:formatCode>
                <c:ptCount val="8"/>
                <c:pt idx="0">
                  <c:v>5700000</c:v>
                </c:pt>
                <c:pt idx="1">
                  <c:v>7900000</c:v>
                </c:pt>
                <c:pt idx="2">
                  <c:v>12800000</c:v>
                </c:pt>
                <c:pt idx="3">
                  <c:v>2800000</c:v>
                </c:pt>
                <c:pt idx="4">
                  <c:v>12000000</c:v>
                </c:pt>
                <c:pt idx="5">
                  <c:v>1756579</c:v>
                </c:pt>
                <c:pt idx="6">
                  <c:v>11700000</c:v>
                </c:pt>
                <c:pt idx="7">
                  <c:v>28300000</c:v>
                </c:pt>
              </c:numCache>
            </c:numRef>
          </c:val>
          <c:extLst>
            <c:ext xmlns:c16="http://schemas.microsoft.com/office/drawing/2014/chart" uri="{C3380CC4-5D6E-409C-BE32-E72D297353CC}">
              <c16:uniqueId val="{00000001-39EB-AC4F-932B-68FCC2F9B274}"/>
            </c:ext>
          </c:extLst>
        </c:ser>
        <c:ser>
          <c:idx val="2"/>
          <c:order val="2"/>
          <c:tx>
            <c:strRef>
              <c:f>'03 Severity &amp; WTP (Sweden)'!$G$21</c:f>
              <c:strCache>
                <c:ptCount val="1"/>
                <c:pt idx="0">
                  <c:v>WTP Threshold
(SEK/QALY)</c:v>
                </c:pt>
              </c:strCache>
            </c:strRef>
          </c:tx>
          <c:spPr>
            <a:ln>
              <a:prstDash val="solid"/>
            </a:ln>
          </c:spPr>
          <c:invertIfNegative val="1"/>
          <c:cat>
            <c:strRef>
              <c:f>'03 Severity &amp; WTP (Sweden)'!$B$22:$B$29</c:f>
              <c:strCache>
                <c:ptCount val="8"/>
                <c:pt idx="0">
                  <c:v>Zolgensma</c:v>
                </c:pt>
                <c:pt idx="1">
                  <c:v>Evrysdi</c:v>
                </c:pt>
                <c:pt idx="2">
                  <c:v>Spinraza</c:v>
                </c:pt>
                <c:pt idx="3">
                  <c:v>Filsuvez</c:v>
                </c:pt>
                <c:pt idx="4">
                  <c:v>Crysvita</c:v>
                </c:pt>
                <c:pt idx="5">
                  <c:v>Koselugo</c:v>
                </c:pt>
                <c:pt idx="6">
                  <c:v>Kaftrio</c:v>
                </c:pt>
                <c:pt idx="7">
                  <c:v>Qalsody</c:v>
                </c:pt>
              </c:strCache>
            </c:strRef>
          </c:cat>
          <c:val>
            <c:numRef>
              <c:f>'03 Severity &amp; WTP (Sweden)'!$G$22:$G$29</c:f>
              <c:numCache>
                <c:formatCode>#,##0</c:formatCode>
                <c:ptCount val="8"/>
                <c:pt idx="0">
                  <c:v>2000000</c:v>
                </c:pt>
                <c:pt idx="1">
                  <c:v>2000000</c:v>
                </c:pt>
                <c:pt idx="2">
                  <c:v>2000000</c:v>
                </c:pt>
                <c:pt idx="3">
                  <c:v>1000000</c:v>
                </c:pt>
                <c:pt idx="4">
                  <c:v>500000</c:v>
                </c:pt>
                <c:pt idx="5">
                  <c:v>1000000</c:v>
                </c:pt>
                <c:pt idx="6">
                  <c:v>1000000</c:v>
                </c:pt>
                <c:pt idx="7">
                  <c:v>2000000</c:v>
                </c:pt>
              </c:numCache>
            </c:numRef>
          </c:val>
          <c:extLst>
            <c:ext xmlns:c16="http://schemas.microsoft.com/office/drawing/2014/chart" uri="{C3380CC4-5D6E-409C-BE32-E72D297353CC}">
              <c16:uniqueId val="{00000002-39EB-AC4F-932B-68FCC2F9B274}"/>
            </c:ext>
          </c:extLst>
        </c:ser>
        <c:dLbls>
          <c:showLegendKey val="0"/>
          <c:showVal val="0"/>
          <c:showCatName val="0"/>
          <c:showSerName val="0"/>
          <c:showPercent val="0"/>
          <c:showBubbleSize val="0"/>
        </c:dLbls>
        <c:gapWidth val="150"/>
        <c:axId val="10"/>
        <c:axId val="100"/>
      </c:barChart>
      <c:catAx>
        <c:axId val="10"/>
        <c:scaling>
          <c:orientation val="minMax"/>
        </c:scaling>
        <c:delete val="1"/>
        <c:axPos val="l"/>
        <c:title>
          <c:tx>
            <c:rich>
              <a:bodyPr/>
              <a:lstStyle/>
              <a:p>
                <a:pPr>
                  <a:defRPr/>
                </a:pPr>
                <a:r>
                  <a:t>SEK / QALY</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b"/>
        <c:majorGridlines/>
        <c:numFmt formatCode="#,##0"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t>% positive access of assessed, by technology group</a:t>
            </a:r>
          </a:p>
        </c:rich>
      </c:tx>
      <c:overlay val="1"/>
    </c:title>
    <c:autoTitleDeleted val="0"/>
    <c:plotArea>
      <c:layout/>
      <c:barChart>
        <c:barDir val="bar"/>
        <c:grouping val="clustered"/>
        <c:varyColors val="1"/>
        <c:ser>
          <c:idx val="0"/>
          <c:order val="0"/>
          <c:tx>
            <c:strRef>
              <c:f>'04 Technology &amp; Modality'!$K$6</c:f>
              <c:strCache>
                <c:ptCount val="1"/>
                <c:pt idx="0">
                  <c:v>% positive of assessed</c:v>
                </c:pt>
              </c:strCache>
            </c:strRef>
          </c:tx>
          <c:spPr>
            <a:ln>
              <a:prstDash val="solid"/>
            </a:ln>
          </c:spPr>
          <c:invertIfNegative val="1"/>
          <c:cat>
            <c:strRef>
              <c:f>'04 Technology &amp; Modality'!$B$7:$B$14</c:f>
              <c:strCache>
                <c:ptCount val="8"/>
                <c:pt idx="0">
                  <c:v>Gene therapy</c:v>
                </c:pt>
                <c:pt idx="1">
                  <c:v>Cell therapy</c:v>
                </c:pt>
                <c:pt idx="2">
                  <c:v>RNA-targeted</c:v>
                </c:pt>
                <c:pt idx="3">
                  <c:v>Monoclonal antibody</c:v>
                </c:pt>
                <c:pt idx="4">
                  <c:v>Enzyme replacement therapy</c:v>
                </c:pt>
                <c:pt idx="5">
                  <c:v>Small molecule</c:v>
                </c:pt>
                <c:pt idx="6">
                  <c:v>Recombinant protein</c:v>
                </c:pt>
                <c:pt idx="7">
                  <c:v>Other biologic</c:v>
                </c:pt>
              </c:strCache>
            </c:strRef>
          </c:cat>
          <c:val>
            <c:numRef>
              <c:f>'04 Technology &amp; Modality'!$K$7:$K$14</c:f>
              <c:numCache>
                <c:formatCode>0.0%</c:formatCode>
                <c:ptCount val="8"/>
                <c:pt idx="0">
                  <c:v>0.32</c:v>
                </c:pt>
                <c:pt idx="1">
                  <c:v>0.5</c:v>
                </c:pt>
                <c:pt idx="2">
                  <c:v>0.66666666666666663</c:v>
                </c:pt>
                <c:pt idx="3">
                  <c:v>0.52173913043478259</c:v>
                </c:pt>
                <c:pt idx="4">
                  <c:v>0.6</c:v>
                </c:pt>
                <c:pt idx="5">
                  <c:v>0.65714285714285714</c:v>
                </c:pt>
                <c:pt idx="6">
                  <c:v>0.6</c:v>
                </c:pt>
                <c:pt idx="7">
                  <c:v>0</c:v>
                </c:pt>
              </c:numCache>
            </c:numRef>
          </c:val>
          <c:extLst>
            <c:ext xmlns:c16="http://schemas.microsoft.com/office/drawing/2014/chart" uri="{C3380CC4-5D6E-409C-BE32-E72D297353CC}">
              <c16:uniqueId val="{00000000-5EDF-5E4B-9EE4-719E97476371}"/>
            </c:ext>
          </c:extLst>
        </c:ser>
        <c:dLbls>
          <c:showLegendKey val="0"/>
          <c:showVal val="0"/>
          <c:showCatName val="0"/>
          <c:showSerName val="0"/>
          <c:showPercent val="0"/>
          <c:showBubbleSize val="0"/>
        </c:dLbls>
        <c:gapWidth val="150"/>
        <c:axId val="10"/>
        <c:axId val="100"/>
      </c:barChart>
      <c:catAx>
        <c:axId val="10"/>
        <c:scaling>
          <c:orientation val="minMax"/>
        </c:scaling>
        <c:delete val="1"/>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b"/>
        <c:majorGridlines/>
        <c:numFmt formatCode="0.0%"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t>Drugs evaluated vs drugs reaching positive Nordic access, by company</a:t>
            </a:r>
          </a:p>
        </c:rich>
      </c:tx>
      <c:overlay val="1"/>
    </c:title>
    <c:autoTitleDeleted val="0"/>
    <c:plotArea>
      <c:layout/>
      <c:barChart>
        <c:barDir val="bar"/>
        <c:grouping val="clustered"/>
        <c:varyColors val="1"/>
        <c:ser>
          <c:idx val="0"/>
          <c:order val="0"/>
          <c:tx>
            <c:strRef>
              <c:f>'05 Company Analysis'!$C$6</c:f>
              <c:strCache>
                <c:ptCount val="1"/>
                <c:pt idx="0">
                  <c:v>Drugs evaluated
(Nordics)</c:v>
                </c:pt>
              </c:strCache>
            </c:strRef>
          </c:tx>
          <c:spPr>
            <a:ln>
              <a:prstDash val="solid"/>
            </a:ln>
          </c:spPr>
          <c:invertIfNegative val="1"/>
          <c:cat>
            <c:strRef>
              <c:f>'05 Company Analysis'!$B$7:$B$21</c:f>
              <c:strCache>
                <c:ptCount val="15"/>
                <c:pt idx="0">
                  <c:v>Alexion (AstraZeneca Rare Disease)</c:v>
                </c:pt>
                <c:pt idx="1">
                  <c:v>Novartis</c:v>
                </c:pt>
                <c:pt idx="2">
                  <c:v>Roche</c:v>
                </c:pt>
                <c:pt idx="3">
                  <c:v>Chiesi Group</c:v>
                </c:pt>
                <c:pt idx="4">
                  <c:v>Biogen</c:v>
                </c:pt>
                <c:pt idx="5">
                  <c:v>Pfizer</c:v>
                </c:pt>
                <c:pt idx="6">
                  <c:v>Alnylam</c:v>
                </c:pt>
                <c:pt idx="7">
                  <c:v>Kite (Gilead)</c:v>
                </c:pt>
                <c:pt idx="8">
                  <c:v>Kyowa Kirin</c:v>
                </c:pt>
                <c:pt idx="9">
                  <c:v>bluebird bio</c:v>
                </c:pt>
                <c:pt idx="10">
                  <c:v>BioMarin</c:v>
                </c:pt>
                <c:pt idx="11">
                  <c:v>Sanofi</c:v>
                </c:pt>
                <c:pt idx="12">
                  <c:v>Takeda</c:v>
                </c:pt>
                <c:pt idx="13">
                  <c:v>Amicus Therapeutics</c:v>
                </c:pt>
                <c:pt idx="14">
                  <c:v>Vertex Pharmaceuticals</c:v>
                </c:pt>
              </c:strCache>
            </c:strRef>
          </c:cat>
          <c:val>
            <c:numRef>
              <c:f>'05 Company Analysis'!$C$7:$C$21</c:f>
              <c:numCache>
                <c:formatCode>General</c:formatCode>
                <c:ptCount val="15"/>
                <c:pt idx="0">
                  <c:v>7</c:v>
                </c:pt>
                <c:pt idx="1">
                  <c:v>5</c:v>
                </c:pt>
                <c:pt idx="2">
                  <c:v>4</c:v>
                </c:pt>
                <c:pt idx="3">
                  <c:v>4</c:v>
                </c:pt>
                <c:pt idx="4">
                  <c:v>3</c:v>
                </c:pt>
                <c:pt idx="5">
                  <c:v>3</c:v>
                </c:pt>
                <c:pt idx="6">
                  <c:v>3</c:v>
                </c:pt>
                <c:pt idx="7">
                  <c:v>3</c:v>
                </c:pt>
                <c:pt idx="8">
                  <c:v>2</c:v>
                </c:pt>
                <c:pt idx="9">
                  <c:v>2</c:v>
                </c:pt>
                <c:pt idx="10">
                  <c:v>2</c:v>
                </c:pt>
                <c:pt idx="11">
                  <c:v>2</c:v>
                </c:pt>
                <c:pt idx="12">
                  <c:v>2</c:v>
                </c:pt>
                <c:pt idx="13">
                  <c:v>2</c:v>
                </c:pt>
                <c:pt idx="14">
                  <c:v>2</c:v>
                </c:pt>
              </c:numCache>
            </c:numRef>
          </c:val>
          <c:extLst>
            <c:ext xmlns:c16="http://schemas.microsoft.com/office/drawing/2014/chart" uri="{C3380CC4-5D6E-409C-BE32-E72D297353CC}">
              <c16:uniqueId val="{00000000-C282-7549-8337-1C2F38CF00A7}"/>
            </c:ext>
          </c:extLst>
        </c:ser>
        <c:ser>
          <c:idx val="1"/>
          <c:order val="1"/>
          <c:tx>
            <c:strRef>
              <c:f>'05 Company Analysis'!$D$6</c:f>
              <c:strCache>
                <c:ptCount val="1"/>
                <c:pt idx="0">
                  <c:v>Drugs with &gt;=1
positive Nordic outcome</c:v>
                </c:pt>
              </c:strCache>
            </c:strRef>
          </c:tx>
          <c:spPr>
            <a:ln>
              <a:prstDash val="solid"/>
            </a:ln>
          </c:spPr>
          <c:invertIfNegative val="1"/>
          <c:cat>
            <c:strRef>
              <c:f>'05 Company Analysis'!$B$7:$B$21</c:f>
              <c:strCache>
                <c:ptCount val="15"/>
                <c:pt idx="0">
                  <c:v>Alexion (AstraZeneca Rare Disease)</c:v>
                </c:pt>
                <c:pt idx="1">
                  <c:v>Novartis</c:v>
                </c:pt>
                <c:pt idx="2">
                  <c:v>Roche</c:v>
                </c:pt>
                <c:pt idx="3">
                  <c:v>Chiesi Group</c:v>
                </c:pt>
                <c:pt idx="4">
                  <c:v>Biogen</c:v>
                </c:pt>
                <c:pt idx="5">
                  <c:v>Pfizer</c:v>
                </c:pt>
                <c:pt idx="6">
                  <c:v>Alnylam</c:v>
                </c:pt>
                <c:pt idx="7">
                  <c:v>Kite (Gilead)</c:v>
                </c:pt>
                <c:pt idx="8">
                  <c:v>Kyowa Kirin</c:v>
                </c:pt>
                <c:pt idx="9">
                  <c:v>bluebird bio</c:v>
                </c:pt>
                <c:pt idx="10">
                  <c:v>BioMarin</c:v>
                </c:pt>
                <c:pt idx="11">
                  <c:v>Sanofi</c:v>
                </c:pt>
                <c:pt idx="12">
                  <c:v>Takeda</c:v>
                </c:pt>
                <c:pt idx="13">
                  <c:v>Amicus Therapeutics</c:v>
                </c:pt>
                <c:pt idx="14">
                  <c:v>Vertex Pharmaceuticals</c:v>
                </c:pt>
              </c:strCache>
            </c:strRef>
          </c:cat>
          <c:val>
            <c:numRef>
              <c:f>'05 Company Analysis'!$D$7:$D$21</c:f>
              <c:numCache>
                <c:formatCode>General</c:formatCode>
                <c:ptCount val="15"/>
                <c:pt idx="0">
                  <c:v>2</c:v>
                </c:pt>
                <c:pt idx="1">
                  <c:v>3</c:v>
                </c:pt>
                <c:pt idx="2">
                  <c:v>2</c:v>
                </c:pt>
                <c:pt idx="3">
                  <c:v>3</c:v>
                </c:pt>
                <c:pt idx="4">
                  <c:v>2</c:v>
                </c:pt>
                <c:pt idx="5">
                  <c:v>2</c:v>
                </c:pt>
                <c:pt idx="6">
                  <c:v>3</c:v>
                </c:pt>
                <c:pt idx="7">
                  <c:v>2</c:v>
                </c:pt>
                <c:pt idx="8">
                  <c:v>2</c:v>
                </c:pt>
                <c:pt idx="9">
                  <c:v>0</c:v>
                </c:pt>
                <c:pt idx="10">
                  <c:v>1</c:v>
                </c:pt>
                <c:pt idx="11">
                  <c:v>1</c:v>
                </c:pt>
                <c:pt idx="12">
                  <c:v>2</c:v>
                </c:pt>
                <c:pt idx="13">
                  <c:v>2</c:v>
                </c:pt>
                <c:pt idx="14">
                  <c:v>2</c:v>
                </c:pt>
              </c:numCache>
            </c:numRef>
          </c:val>
          <c:extLst>
            <c:ext xmlns:c16="http://schemas.microsoft.com/office/drawing/2014/chart" uri="{C3380CC4-5D6E-409C-BE32-E72D297353CC}">
              <c16:uniqueId val="{00000001-C282-7549-8337-1C2F38CF00A7}"/>
            </c:ext>
          </c:extLst>
        </c:ser>
        <c:dLbls>
          <c:showLegendKey val="0"/>
          <c:showVal val="0"/>
          <c:showCatName val="0"/>
          <c:showSerName val="0"/>
          <c:showPercent val="0"/>
          <c:showBubbleSize val="0"/>
        </c:dLbls>
        <c:gapWidth val="150"/>
        <c:axId val="10"/>
        <c:axId val="100"/>
      </c:barChart>
      <c:catAx>
        <c:axId val="10"/>
        <c:scaling>
          <c:orientation val="minMax"/>
        </c:scaling>
        <c:delete val="1"/>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b"/>
        <c:majorGridlines/>
        <c:numFmt formatCode="General"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t>% positive access of assessed, by evidence type</a:t>
            </a:r>
          </a:p>
        </c:rich>
      </c:tx>
      <c:overlay val="1"/>
    </c:title>
    <c:autoTitleDeleted val="0"/>
    <c:plotArea>
      <c:layout/>
      <c:barChart>
        <c:barDir val="col"/>
        <c:grouping val="clustered"/>
        <c:varyColors val="1"/>
        <c:ser>
          <c:idx val="0"/>
          <c:order val="0"/>
          <c:tx>
            <c:strRef>
              <c:f>'06 Evidence Analysis'!$K$6</c:f>
              <c:strCache>
                <c:ptCount val="1"/>
                <c:pt idx="0">
                  <c:v>% positive</c:v>
                </c:pt>
              </c:strCache>
            </c:strRef>
          </c:tx>
          <c:spPr>
            <a:ln>
              <a:prstDash val="solid"/>
            </a:ln>
          </c:spPr>
          <c:invertIfNegative val="1"/>
          <c:cat>
            <c:strRef>
              <c:f>'06 Evidence Analysis'!$B$7:$B$12</c:f>
              <c:strCache>
                <c:ptCount val="6"/>
                <c:pt idx="0">
                  <c:v>RCT</c:v>
                </c:pt>
                <c:pt idx="1">
                  <c:v>Single-arm / open-label</c:v>
                </c:pt>
                <c:pt idx="2">
                  <c:v>Real-world / registry / natural history</c:v>
                </c:pt>
                <c:pt idx="3">
                  <c:v>Indirect comparison / MAIC</c:v>
                </c:pt>
                <c:pt idx="4">
                  <c:v>Case series/report</c:v>
                </c:pt>
                <c:pt idx="5">
                  <c:v>Not specified / unclear</c:v>
                </c:pt>
              </c:strCache>
            </c:strRef>
          </c:cat>
          <c:val>
            <c:numRef>
              <c:f>'06 Evidence Analysis'!$K$7:$K$12</c:f>
              <c:numCache>
                <c:formatCode>0.0%</c:formatCode>
                <c:ptCount val="6"/>
                <c:pt idx="0">
                  <c:v>0</c:v>
                </c:pt>
                <c:pt idx="1">
                  <c:v>0</c:v>
                </c:pt>
                <c:pt idx="2">
                  <c:v>1</c:v>
                </c:pt>
                <c:pt idx="3">
                  <c:v>0</c:v>
                </c:pt>
                <c:pt idx="4">
                  <c:v>0</c:v>
                </c:pt>
                <c:pt idx="5">
                  <c:v>0.5234375</c:v>
                </c:pt>
              </c:numCache>
            </c:numRef>
          </c:val>
          <c:extLst>
            <c:ext xmlns:c16="http://schemas.microsoft.com/office/drawing/2014/chart" uri="{C3380CC4-5D6E-409C-BE32-E72D297353CC}">
              <c16:uniqueId val="{00000000-1180-4E43-A914-AAE02B2FE4AD}"/>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numFmt formatCode="0.0%"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t>Decline reason category, by country</a:t>
            </a:r>
          </a:p>
        </c:rich>
      </c:tx>
      <c:overlay val="1"/>
    </c:title>
    <c:autoTitleDeleted val="0"/>
    <c:plotArea>
      <c:layout/>
      <c:barChart>
        <c:barDir val="bar"/>
        <c:grouping val="clustered"/>
        <c:varyColors val="1"/>
        <c:ser>
          <c:idx val="0"/>
          <c:order val="0"/>
          <c:tx>
            <c:strRef>
              <c:f>'07 Reasons for Decline'!$C$6</c:f>
              <c:strCache>
                <c:ptCount val="1"/>
                <c:pt idx="0">
                  <c:v>Sweden</c:v>
                </c:pt>
              </c:strCache>
            </c:strRef>
          </c:tx>
          <c:spPr>
            <a:ln>
              <a:prstDash val="solid"/>
            </a:ln>
          </c:spPr>
          <c:invertIfNegative val="1"/>
          <c:cat>
            <c:strRef>
              <c:f>'07 Reasons for Decline'!$B$7:$B$11</c:f>
              <c:strCache>
                <c:ptCount val="5"/>
                <c:pt idx="0">
                  <c:v>Price/Cost-effectiveness</c:v>
                </c:pt>
                <c:pt idx="1">
                  <c:v>Clinical evidence uncertainty</c:v>
                </c:pt>
                <c:pt idx="2">
                  <c:v>Administrative/Procedural</c:v>
                </c:pt>
                <c:pt idx="3">
                  <c:v>Comparator/positioning</c:v>
                </c:pt>
                <c:pt idx="4">
                  <c:v>N/A</c:v>
                </c:pt>
              </c:strCache>
            </c:strRef>
          </c:cat>
          <c:val>
            <c:numRef>
              <c:f>'07 Reasons for Decline'!$C$7:$C$11</c:f>
              <c:numCache>
                <c:formatCode>General</c:formatCode>
                <c:ptCount val="5"/>
                <c:pt idx="0">
                  <c:v>11</c:v>
                </c:pt>
                <c:pt idx="1">
                  <c:v>2</c:v>
                </c:pt>
                <c:pt idx="2">
                  <c:v>4</c:v>
                </c:pt>
                <c:pt idx="3">
                  <c:v>0</c:v>
                </c:pt>
                <c:pt idx="4">
                  <c:v>0</c:v>
                </c:pt>
              </c:numCache>
            </c:numRef>
          </c:val>
          <c:extLst>
            <c:ext xmlns:c16="http://schemas.microsoft.com/office/drawing/2014/chart" uri="{C3380CC4-5D6E-409C-BE32-E72D297353CC}">
              <c16:uniqueId val="{00000000-061A-E14A-B998-78150EA4B6A0}"/>
            </c:ext>
          </c:extLst>
        </c:ser>
        <c:ser>
          <c:idx val="1"/>
          <c:order val="1"/>
          <c:tx>
            <c:strRef>
              <c:f>'07 Reasons for Decline'!$D$6</c:f>
              <c:strCache>
                <c:ptCount val="1"/>
                <c:pt idx="0">
                  <c:v>Denmark</c:v>
                </c:pt>
              </c:strCache>
            </c:strRef>
          </c:tx>
          <c:spPr>
            <a:ln>
              <a:prstDash val="solid"/>
            </a:ln>
          </c:spPr>
          <c:invertIfNegative val="1"/>
          <c:cat>
            <c:strRef>
              <c:f>'07 Reasons for Decline'!$B$7:$B$11</c:f>
              <c:strCache>
                <c:ptCount val="5"/>
                <c:pt idx="0">
                  <c:v>Price/Cost-effectiveness</c:v>
                </c:pt>
                <c:pt idx="1">
                  <c:v>Clinical evidence uncertainty</c:v>
                </c:pt>
                <c:pt idx="2">
                  <c:v>Administrative/Procedural</c:v>
                </c:pt>
                <c:pt idx="3">
                  <c:v>Comparator/positioning</c:v>
                </c:pt>
                <c:pt idx="4">
                  <c:v>N/A</c:v>
                </c:pt>
              </c:strCache>
            </c:strRef>
          </c:cat>
          <c:val>
            <c:numRef>
              <c:f>'07 Reasons for Decline'!$D$7:$D$11</c:f>
              <c:numCache>
                <c:formatCode>General</c:formatCode>
                <c:ptCount val="5"/>
                <c:pt idx="0">
                  <c:v>12</c:v>
                </c:pt>
                <c:pt idx="1">
                  <c:v>0</c:v>
                </c:pt>
                <c:pt idx="2">
                  <c:v>2</c:v>
                </c:pt>
                <c:pt idx="3">
                  <c:v>0</c:v>
                </c:pt>
                <c:pt idx="4">
                  <c:v>0</c:v>
                </c:pt>
              </c:numCache>
            </c:numRef>
          </c:val>
          <c:extLst>
            <c:ext xmlns:c16="http://schemas.microsoft.com/office/drawing/2014/chart" uri="{C3380CC4-5D6E-409C-BE32-E72D297353CC}">
              <c16:uniqueId val="{00000001-061A-E14A-B998-78150EA4B6A0}"/>
            </c:ext>
          </c:extLst>
        </c:ser>
        <c:ser>
          <c:idx val="2"/>
          <c:order val="2"/>
          <c:tx>
            <c:strRef>
              <c:f>'07 Reasons for Decline'!$E$6</c:f>
              <c:strCache>
                <c:ptCount val="1"/>
                <c:pt idx="0">
                  <c:v>Norway</c:v>
                </c:pt>
              </c:strCache>
            </c:strRef>
          </c:tx>
          <c:spPr>
            <a:ln>
              <a:prstDash val="solid"/>
            </a:ln>
          </c:spPr>
          <c:invertIfNegative val="1"/>
          <c:cat>
            <c:strRef>
              <c:f>'07 Reasons for Decline'!$B$7:$B$11</c:f>
              <c:strCache>
                <c:ptCount val="5"/>
                <c:pt idx="0">
                  <c:v>Price/Cost-effectiveness</c:v>
                </c:pt>
                <c:pt idx="1">
                  <c:v>Clinical evidence uncertainty</c:v>
                </c:pt>
                <c:pt idx="2">
                  <c:v>Administrative/Procedural</c:v>
                </c:pt>
                <c:pt idx="3">
                  <c:v>Comparator/positioning</c:v>
                </c:pt>
                <c:pt idx="4">
                  <c:v>N/A</c:v>
                </c:pt>
              </c:strCache>
            </c:strRef>
          </c:cat>
          <c:val>
            <c:numRef>
              <c:f>'07 Reasons for Decline'!$E$7:$E$11</c:f>
              <c:numCache>
                <c:formatCode>General</c:formatCode>
                <c:ptCount val="5"/>
                <c:pt idx="0">
                  <c:v>12</c:v>
                </c:pt>
                <c:pt idx="1">
                  <c:v>0</c:v>
                </c:pt>
                <c:pt idx="2">
                  <c:v>3</c:v>
                </c:pt>
                <c:pt idx="3">
                  <c:v>0</c:v>
                </c:pt>
                <c:pt idx="4">
                  <c:v>0</c:v>
                </c:pt>
              </c:numCache>
            </c:numRef>
          </c:val>
          <c:extLst>
            <c:ext xmlns:c16="http://schemas.microsoft.com/office/drawing/2014/chart" uri="{C3380CC4-5D6E-409C-BE32-E72D297353CC}">
              <c16:uniqueId val="{00000002-061A-E14A-B998-78150EA4B6A0}"/>
            </c:ext>
          </c:extLst>
        </c:ser>
        <c:dLbls>
          <c:showLegendKey val="0"/>
          <c:showVal val="0"/>
          <c:showCatName val="0"/>
          <c:showSerName val="0"/>
          <c:showPercent val="0"/>
          <c:showBubbleSize val="0"/>
        </c:dLbls>
        <c:gapWidth val="150"/>
        <c:axId val="10"/>
        <c:axId val="100"/>
      </c:barChart>
      <c:catAx>
        <c:axId val="10"/>
        <c:scaling>
          <c:orientation val="minMax"/>
        </c:scaling>
        <c:delete val="1"/>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b"/>
        <c:majorGridlines/>
        <c:numFmt formatCode="General"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t>% positive access of assessed, by comparator category</a:t>
            </a:r>
          </a:p>
        </c:rich>
      </c:tx>
      <c:overlay val="1"/>
    </c:title>
    <c:autoTitleDeleted val="0"/>
    <c:plotArea>
      <c:layout/>
      <c:barChart>
        <c:barDir val="col"/>
        <c:grouping val="clustered"/>
        <c:varyColors val="1"/>
        <c:ser>
          <c:idx val="0"/>
          <c:order val="0"/>
          <c:tx>
            <c:strRef>
              <c:f>'08 Comparator Analysis'!$K$6</c:f>
              <c:strCache>
                <c:ptCount val="1"/>
                <c:pt idx="0">
                  <c:v>% positive</c:v>
                </c:pt>
              </c:strCache>
            </c:strRef>
          </c:tx>
          <c:spPr>
            <a:ln>
              <a:prstDash val="solid"/>
            </a:ln>
          </c:spPr>
          <c:invertIfNegative val="1"/>
          <c:cat>
            <c:strRef>
              <c:f>'08 Comparator Analysis'!$B$7:$B$12</c:f>
              <c:strCache>
                <c:ptCount val="6"/>
                <c:pt idx="0">
                  <c:v>Best supportive care / no active treatment</c:v>
                </c:pt>
                <c:pt idx="1">
                  <c:v>Active comparator drug(s)</c:v>
                </c:pt>
                <c:pt idx="2">
                  <c:v>Chemotherapy / salvage regimen</c:v>
                </c:pt>
                <c:pt idx="3">
                  <c:v>Procedural / transplant-based comparator</c:v>
                </c:pt>
                <c:pt idx="4">
                  <c:v>Other / mixed comparator</c:v>
                </c:pt>
                <c:pt idx="5">
                  <c:v>Not applicable / Not assessed</c:v>
                </c:pt>
              </c:strCache>
            </c:strRef>
          </c:cat>
          <c:val>
            <c:numRef>
              <c:f>'08 Comparator Analysis'!$K$7:$K$12</c:f>
              <c:numCache>
                <c:formatCode>0.0%</c:formatCode>
                <c:ptCount val="6"/>
                <c:pt idx="0">
                  <c:v>0.51923076923076927</c:v>
                </c:pt>
                <c:pt idx="1">
                  <c:v>0.61904761904761907</c:v>
                </c:pt>
                <c:pt idx="2">
                  <c:v>1</c:v>
                </c:pt>
                <c:pt idx="3">
                  <c:v>0.36363636363636365</c:v>
                </c:pt>
                <c:pt idx="4">
                  <c:v>0.52173913043478259</c:v>
                </c:pt>
                <c:pt idx="5">
                  <c:v>0</c:v>
                </c:pt>
              </c:numCache>
            </c:numRef>
          </c:val>
          <c:extLst>
            <c:ext xmlns:c16="http://schemas.microsoft.com/office/drawing/2014/chart" uri="{C3380CC4-5D6E-409C-BE32-E72D297353CC}">
              <c16:uniqueId val="{00000000-B90D-2E4D-BE14-AB25624924DE}"/>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numFmt formatCode="0.0%"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t>Dated decisions per year, by country</a:t>
            </a:r>
          </a:p>
        </c:rich>
      </c:tx>
      <c:overlay val="1"/>
    </c:title>
    <c:autoTitleDeleted val="0"/>
    <c:plotArea>
      <c:layout/>
      <c:lineChart>
        <c:grouping val="standard"/>
        <c:varyColors val="1"/>
        <c:ser>
          <c:idx val="0"/>
          <c:order val="0"/>
          <c:tx>
            <c:strRef>
              <c:f>'09 Time to Access'!$C$6</c:f>
              <c:strCache>
                <c:ptCount val="1"/>
                <c:pt idx="0">
                  <c:v>Sweden</c:v>
                </c:pt>
              </c:strCache>
            </c:strRef>
          </c:tx>
          <c:spPr>
            <a:ln>
              <a:prstDash val="solid"/>
            </a:ln>
          </c:spPr>
          <c:marker>
            <c:symbol val="none"/>
          </c:marker>
          <c:cat>
            <c:numRef>
              <c:f>'09 Time to Access'!$B$7:$B$17</c:f>
              <c:numCache>
                <c:formatCode>General</c:formatCode>
                <c:ptCount val="11"/>
                <c:pt idx="0">
                  <c:v>2016</c:v>
                </c:pt>
                <c:pt idx="1">
                  <c:v>2017</c:v>
                </c:pt>
                <c:pt idx="2">
                  <c:v>2018</c:v>
                </c:pt>
                <c:pt idx="3">
                  <c:v>2019</c:v>
                </c:pt>
                <c:pt idx="4">
                  <c:v>2020</c:v>
                </c:pt>
                <c:pt idx="5">
                  <c:v>2021</c:v>
                </c:pt>
                <c:pt idx="6">
                  <c:v>2022</c:v>
                </c:pt>
                <c:pt idx="7">
                  <c:v>2023</c:v>
                </c:pt>
                <c:pt idx="8">
                  <c:v>2024</c:v>
                </c:pt>
                <c:pt idx="9">
                  <c:v>2025</c:v>
                </c:pt>
                <c:pt idx="10">
                  <c:v>2026</c:v>
                </c:pt>
              </c:numCache>
            </c:numRef>
          </c:cat>
          <c:val>
            <c:numRef>
              <c:f>'09 Time to Access'!$C$7:$C$17</c:f>
              <c:numCache>
                <c:formatCode>General</c:formatCode>
                <c:ptCount val="11"/>
                <c:pt idx="0">
                  <c:v>1</c:v>
                </c:pt>
                <c:pt idx="1">
                  <c:v>1</c:v>
                </c:pt>
                <c:pt idx="2">
                  <c:v>2</c:v>
                </c:pt>
                <c:pt idx="3">
                  <c:v>4</c:v>
                </c:pt>
                <c:pt idx="4">
                  <c:v>1</c:v>
                </c:pt>
                <c:pt idx="5">
                  <c:v>5</c:v>
                </c:pt>
                <c:pt idx="6">
                  <c:v>4</c:v>
                </c:pt>
                <c:pt idx="7">
                  <c:v>6</c:v>
                </c:pt>
                <c:pt idx="8">
                  <c:v>7</c:v>
                </c:pt>
                <c:pt idx="9">
                  <c:v>13</c:v>
                </c:pt>
                <c:pt idx="10">
                  <c:v>5</c:v>
                </c:pt>
              </c:numCache>
            </c:numRef>
          </c:val>
          <c:smooth val="1"/>
          <c:extLst>
            <c:ext xmlns:c16="http://schemas.microsoft.com/office/drawing/2014/chart" uri="{C3380CC4-5D6E-409C-BE32-E72D297353CC}">
              <c16:uniqueId val="{00000000-AE3E-6945-8D66-2D50F1ADE3DB}"/>
            </c:ext>
          </c:extLst>
        </c:ser>
        <c:ser>
          <c:idx val="1"/>
          <c:order val="1"/>
          <c:tx>
            <c:strRef>
              <c:f>'09 Time to Access'!$D$6</c:f>
              <c:strCache>
                <c:ptCount val="1"/>
                <c:pt idx="0">
                  <c:v>Denmark</c:v>
                </c:pt>
              </c:strCache>
            </c:strRef>
          </c:tx>
          <c:spPr>
            <a:ln>
              <a:prstDash val="solid"/>
            </a:ln>
          </c:spPr>
          <c:marker>
            <c:symbol val="none"/>
          </c:marker>
          <c:cat>
            <c:numRef>
              <c:f>'09 Time to Access'!$B$7:$B$17</c:f>
              <c:numCache>
                <c:formatCode>General</c:formatCode>
                <c:ptCount val="11"/>
                <c:pt idx="0">
                  <c:v>2016</c:v>
                </c:pt>
                <c:pt idx="1">
                  <c:v>2017</c:v>
                </c:pt>
                <c:pt idx="2">
                  <c:v>2018</c:v>
                </c:pt>
                <c:pt idx="3">
                  <c:v>2019</c:v>
                </c:pt>
                <c:pt idx="4">
                  <c:v>2020</c:v>
                </c:pt>
                <c:pt idx="5">
                  <c:v>2021</c:v>
                </c:pt>
                <c:pt idx="6">
                  <c:v>2022</c:v>
                </c:pt>
                <c:pt idx="7">
                  <c:v>2023</c:v>
                </c:pt>
                <c:pt idx="8">
                  <c:v>2024</c:v>
                </c:pt>
                <c:pt idx="9">
                  <c:v>2025</c:v>
                </c:pt>
                <c:pt idx="10">
                  <c:v>2026</c:v>
                </c:pt>
              </c:numCache>
            </c:numRef>
          </c:cat>
          <c:val>
            <c:numRef>
              <c:f>'09 Time to Access'!$D$7:$D$17</c:f>
              <c:numCache>
                <c:formatCode>General</c:formatCode>
                <c:ptCount val="11"/>
                <c:pt idx="0">
                  <c:v>0</c:v>
                </c:pt>
                <c:pt idx="1">
                  <c:v>1</c:v>
                </c:pt>
                <c:pt idx="2">
                  <c:v>4</c:v>
                </c:pt>
                <c:pt idx="3">
                  <c:v>3</c:v>
                </c:pt>
                <c:pt idx="4">
                  <c:v>4</c:v>
                </c:pt>
                <c:pt idx="5">
                  <c:v>4</c:v>
                </c:pt>
                <c:pt idx="6">
                  <c:v>3</c:v>
                </c:pt>
                <c:pt idx="7">
                  <c:v>2</c:v>
                </c:pt>
                <c:pt idx="8">
                  <c:v>8</c:v>
                </c:pt>
                <c:pt idx="9">
                  <c:v>9</c:v>
                </c:pt>
                <c:pt idx="10">
                  <c:v>3</c:v>
                </c:pt>
              </c:numCache>
            </c:numRef>
          </c:val>
          <c:smooth val="1"/>
          <c:extLst>
            <c:ext xmlns:c16="http://schemas.microsoft.com/office/drawing/2014/chart" uri="{C3380CC4-5D6E-409C-BE32-E72D297353CC}">
              <c16:uniqueId val="{00000001-AE3E-6945-8D66-2D50F1ADE3DB}"/>
            </c:ext>
          </c:extLst>
        </c:ser>
        <c:ser>
          <c:idx val="2"/>
          <c:order val="2"/>
          <c:tx>
            <c:strRef>
              <c:f>'09 Time to Access'!$E$6</c:f>
              <c:strCache>
                <c:ptCount val="1"/>
                <c:pt idx="0">
                  <c:v>Norway</c:v>
                </c:pt>
              </c:strCache>
            </c:strRef>
          </c:tx>
          <c:spPr>
            <a:ln>
              <a:prstDash val="solid"/>
            </a:ln>
          </c:spPr>
          <c:marker>
            <c:symbol val="none"/>
          </c:marker>
          <c:cat>
            <c:numRef>
              <c:f>'09 Time to Access'!$B$7:$B$17</c:f>
              <c:numCache>
                <c:formatCode>General</c:formatCode>
                <c:ptCount val="11"/>
                <c:pt idx="0">
                  <c:v>2016</c:v>
                </c:pt>
                <c:pt idx="1">
                  <c:v>2017</c:v>
                </c:pt>
                <c:pt idx="2">
                  <c:v>2018</c:v>
                </c:pt>
                <c:pt idx="3">
                  <c:v>2019</c:v>
                </c:pt>
                <c:pt idx="4">
                  <c:v>2020</c:v>
                </c:pt>
                <c:pt idx="5">
                  <c:v>2021</c:v>
                </c:pt>
                <c:pt idx="6">
                  <c:v>2022</c:v>
                </c:pt>
                <c:pt idx="7">
                  <c:v>2023</c:v>
                </c:pt>
                <c:pt idx="8">
                  <c:v>2024</c:v>
                </c:pt>
                <c:pt idx="9">
                  <c:v>2025</c:v>
                </c:pt>
                <c:pt idx="10">
                  <c:v>2026</c:v>
                </c:pt>
              </c:numCache>
            </c:numRef>
          </c:cat>
          <c:val>
            <c:numRef>
              <c:f>'09 Time to Access'!$E$7:$E$17</c:f>
              <c:numCache>
                <c:formatCode>General</c:formatCode>
                <c:ptCount val="11"/>
                <c:pt idx="0">
                  <c:v>0</c:v>
                </c:pt>
                <c:pt idx="1">
                  <c:v>1</c:v>
                </c:pt>
                <c:pt idx="2">
                  <c:v>3</c:v>
                </c:pt>
                <c:pt idx="3">
                  <c:v>1</c:v>
                </c:pt>
                <c:pt idx="4">
                  <c:v>0</c:v>
                </c:pt>
                <c:pt idx="5">
                  <c:v>4</c:v>
                </c:pt>
                <c:pt idx="6">
                  <c:v>12</c:v>
                </c:pt>
                <c:pt idx="7">
                  <c:v>4</c:v>
                </c:pt>
                <c:pt idx="8">
                  <c:v>5</c:v>
                </c:pt>
                <c:pt idx="9">
                  <c:v>11</c:v>
                </c:pt>
                <c:pt idx="10">
                  <c:v>5</c:v>
                </c:pt>
              </c:numCache>
            </c:numRef>
          </c:val>
          <c:smooth val="1"/>
          <c:extLst>
            <c:ext xmlns:c16="http://schemas.microsoft.com/office/drawing/2014/chart" uri="{C3380CC4-5D6E-409C-BE32-E72D297353CC}">
              <c16:uniqueId val="{00000002-AE3E-6945-8D66-2D50F1ADE3DB}"/>
            </c:ext>
          </c:extLst>
        </c:ser>
        <c:dLbls>
          <c:showLegendKey val="0"/>
          <c:showVal val="0"/>
          <c:showCatName val="0"/>
          <c:showSerName val="0"/>
          <c:showPercent val="0"/>
          <c:showBubbleSize val="0"/>
        </c:dLbls>
        <c:smooth val="0"/>
        <c:axId val="10"/>
        <c:axId val="100"/>
      </c:line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numFmt formatCode="General"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Positive-access rate by year (final decisions)</a:t>
            </a:r>
          </a:p>
        </c:rich>
      </c:tx>
      <c:overlay val="1"/>
    </c:title>
    <c:autoTitleDeleted val="0"/>
    <c:plotArea>
      <c:layout/>
      <c:lineChart>
        <c:grouping val="standard"/>
        <c:varyColors val="1"/>
        <c:ser>
          <c:idx val="0"/>
          <c:order val="0"/>
          <c:tx>
            <c:strRef>
              <c:f>'10 Presentation Brief'!$D$17</c:f>
              <c:strCache>
                <c:ptCount val="1"/>
                <c:pt idx="0">
                  <c:v>Sweden %</c:v>
                </c:pt>
              </c:strCache>
            </c:strRef>
          </c:tx>
          <c:spPr>
            <a:ln>
              <a:prstDash val="solid"/>
            </a:ln>
          </c:spPr>
          <c:marker>
            <c:symbol val="none"/>
          </c:marker>
          <c:cat>
            <c:numRef>
              <c:f>'10 Presentation Brief'!$B$18:$B$24</c:f>
              <c:numCache>
                <c:formatCode>General</c:formatCode>
                <c:ptCount val="7"/>
                <c:pt idx="0">
                  <c:v>2020</c:v>
                </c:pt>
                <c:pt idx="1">
                  <c:v>2021</c:v>
                </c:pt>
                <c:pt idx="2">
                  <c:v>2022</c:v>
                </c:pt>
                <c:pt idx="3">
                  <c:v>2023</c:v>
                </c:pt>
                <c:pt idx="4">
                  <c:v>2024</c:v>
                </c:pt>
                <c:pt idx="5">
                  <c:v>2025</c:v>
                </c:pt>
                <c:pt idx="6">
                  <c:v>2026</c:v>
                </c:pt>
              </c:numCache>
            </c:numRef>
          </c:cat>
          <c:val>
            <c:numRef>
              <c:f>'10 Presentation Brief'!$D$18:$D$24</c:f>
              <c:numCache>
                <c:formatCode>0.0%</c:formatCode>
                <c:ptCount val="7"/>
                <c:pt idx="0">
                  <c:v>0</c:v>
                </c:pt>
                <c:pt idx="1">
                  <c:v>0.6</c:v>
                </c:pt>
                <c:pt idx="2">
                  <c:v>1</c:v>
                </c:pt>
                <c:pt idx="3">
                  <c:v>0.25</c:v>
                </c:pt>
                <c:pt idx="4">
                  <c:v>0.33333333333333331</c:v>
                </c:pt>
                <c:pt idx="5">
                  <c:v>0.4</c:v>
                </c:pt>
                <c:pt idx="6">
                  <c:v>1</c:v>
                </c:pt>
              </c:numCache>
            </c:numRef>
          </c:val>
          <c:smooth val="1"/>
          <c:extLst>
            <c:ext xmlns:c16="http://schemas.microsoft.com/office/drawing/2014/chart" uri="{C3380CC4-5D6E-409C-BE32-E72D297353CC}">
              <c16:uniqueId val="{00000000-F05B-C545-B97E-02089E795C43}"/>
            </c:ext>
          </c:extLst>
        </c:ser>
        <c:ser>
          <c:idx val="1"/>
          <c:order val="1"/>
          <c:tx>
            <c:strRef>
              <c:f>'10 Presentation Brief'!$F$17</c:f>
              <c:strCache>
                <c:ptCount val="1"/>
                <c:pt idx="0">
                  <c:v>Denmark %</c:v>
                </c:pt>
              </c:strCache>
            </c:strRef>
          </c:tx>
          <c:spPr>
            <a:ln>
              <a:prstDash val="solid"/>
            </a:ln>
          </c:spPr>
          <c:marker>
            <c:symbol val="none"/>
          </c:marker>
          <c:cat>
            <c:numRef>
              <c:f>'10 Presentation Brief'!$B$18:$B$24</c:f>
              <c:numCache>
                <c:formatCode>General</c:formatCode>
                <c:ptCount val="7"/>
                <c:pt idx="0">
                  <c:v>2020</c:v>
                </c:pt>
                <c:pt idx="1">
                  <c:v>2021</c:v>
                </c:pt>
                <c:pt idx="2">
                  <c:v>2022</c:v>
                </c:pt>
                <c:pt idx="3">
                  <c:v>2023</c:v>
                </c:pt>
                <c:pt idx="4">
                  <c:v>2024</c:v>
                </c:pt>
                <c:pt idx="5">
                  <c:v>2025</c:v>
                </c:pt>
                <c:pt idx="6">
                  <c:v>2026</c:v>
                </c:pt>
              </c:numCache>
            </c:numRef>
          </c:cat>
          <c:val>
            <c:numRef>
              <c:f>'10 Presentation Brief'!$F$18:$F$24</c:f>
              <c:numCache>
                <c:formatCode>0.0%</c:formatCode>
                <c:ptCount val="7"/>
                <c:pt idx="0">
                  <c:v>0.75</c:v>
                </c:pt>
                <c:pt idx="1">
                  <c:v>0.75</c:v>
                </c:pt>
                <c:pt idx="2">
                  <c:v>0.5</c:v>
                </c:pt>
                <c:pt idx="3">
                  <c:v>0.5</c:v>
                </c:pt>
                <c:pt idx="4">
                  <c:v>0.6</c:v>
                </c:pt>
                <c:pt idx="5">
                  <c:v>0.66666666666666663</c:v>
                </c:pt>
                <c:pt idx="6">
                  <c:v>0.66666666666666663</c:v>
                </c:pt>
              </c:numCache>
            </c:numRef>
          </c:val>
          <c:smooth val="1"/>
          <c:extLst>
            <c:ext xmlns:c16="http://schemas.microsoft.com/office/drawing/2014/chart" uri="{C3380CC4-5D6E-409C-BE32-E72D297353CC}">
              <c16:uniqueId val="{00000001-F05B-C545-B97E-02089E795C43}"/>
            </c:ext>
          </c:extLst>
        </c:ser>
        <c:ser>
          <c:idx val="2"/>
          <c:order val="2"/>
          <c:tx>
            <c:strRef>
              <c:f>'10 Presentation Brief'!$H$17</c:f>
              <c:strCache>
                <c:ptCount val="1"/>
                <c:pt idx="0">
                  <c:v>Norway %</c:v>
                </c:pt>
              </c:strCache>
            </c:strRef>
          </c:tx>
          <c:spPr>
            <a:ln>
              <a:prstDash val="solid"/>
            </a:ln>
          </c:spPr>
          <c:marker>
            <c:symbol val="none"/>
          </c:marker>
          <c:cat>
            <c:numRef>
              <c:f>'10 Presentation Brief'!$B$18:$B$24</c:f>
              <c:numCache>
                <c:formatCode>General</c:formatCode>
                <c:ptCount val="7"/>
                <c:pt idx="0">
                  <c:v>2020</c:v>
                </c:pt>
                <c:pt idx="1">
                  <c:v>2021</c:v>
                </c:pt>
                <c:pt idx="2">
                  <c:v>2022</c:v>
                </c:pt>
                <c:pt idx="3">
                  <c:v>2023</c:v>
                </c:pt>
                <c:pt idx="4">
                  <c:v>2024</c:v>
                </c:pt>
                <c:pt idx="5">
                  <c:v>2025</c:v>
                </c:pt>
                <c:pt idx="6">
                  <c:v>2026</c:v>
                </c:pt>
              </c:numCache>
            </c:numRef>
          </c:cat>
          <c:val>
            <c:numRef>
              <c:f>'10 Presentation Brief'!$H$18:$H$24</c:f>
              <c:numCache>
                <c:formatCode>0.0%</c:formatCode>
                <c:ptCount val="7"/>
                <c:pt idx="0">
                  <c:v>0</c:v>
                </c:pt>
                <c:pt idx="1">
                  <c:v>0.75</c:v>
                </c:pt>
                <c:pt idx="2">
                  <c:v>0.8</c:v>
                </c:pt>
                <c:pt idx="3">
                  <c:v>1</c:v>
                </c:pt>
                <c:pt idx="4">
                  <c:v>0.66666666666666663</c:v>
                </c:pt>
                <c:pt idx="5">
                  <c:v>0</c:v>
                </c:pt>
                <c:pt idx="6">
                  <c:v>0.66666666666666663</c:v>
                </c:pt>
              </c:numCache>
            </c:numRef>
          </c:val>
          <c:smooth val="1"/>
          <c:extLst>
            <c:ext xmlns:c16="http://schemas.microsoft.com/office/drawing/2014/chart" uri="{C3380CC4-5D6E-409C-BE32-E72D297353CC}">
              <c16:uniqueId val="{00000002-F05B-C545-B97E-02089E795C43}"/>
            </c:ext>
          </c:extLst>
        </c:ser>
        <c:dLbls>
          <c:showLegendKey val="0"/>
          <c:showVal val="0"/>
          <c:showCatName val="0"/>
          <c:showSerName val="0"/>
          <c:showPercent val="0"/>
          <c:showBubbleSize val="0"/>
        </c:dLbls>
        <c:smooth val="0"/>
        <c:axId val="10"/>
        <c:axId val="100"/>
      </c:lineChart>
      <c:catAx>
        <c:axId val="10"/>
        <c:scaling>
          <c:orientation val="minMax"/>
        </c:scaling>
        <c:delete val="0"/>
        <c:axPos val="b"/>
        <c:numFmt formatCode="General" sourceLinked="1"/>
        <c:majorTickMark val="out"/>
        <c:minorTickMark val="none"/>
        <c:tickLblPos val="nextTo"/>
        <c:crossAx val="100"/>
        <c:crosses val="autoZero"/>
        <c:auto val="1"/>
        <c:lblAlgn val="ctr"/>
        <c:lblOffset val="100"/>
        <c:noMultiLvlLbl val="1"/>
      </c:catAx>
      <c:valAx>
        <c:axId val="100"/>
        <c:scaling>
          <c:orientation val="minMax"/>
        </c:scaling>
        <c:delete val="0"/>
        <c:axPos val="l"/>
        <c:majorGridlines/>
        <c:numFmt formatCode="0.0%" sourceLinked="1"/>
        <c:majorTickMark val="out"/>
        <c:minorTickMark val="none"/>
        <c:tickLblPos val="nextTo"/>
        <c:crossAx val="10"/>
        <c:crosses val="autoZero"/>
        <c:crossBetween val="between"/>
      </c:valAx>
    </c:plotArea>
    <c:legend>
      <c:legendPos val="r"/>
      <c:layout>
        <c:manualLayout>
          <c:xMode val="edge"/>
          <c:yMode val="edge"/>
          <c:x val="7.8932405380437248E-2"/>
          <c:y val="5.9028572009050061E-2"/>
          <c:w val="0.13416494964790773"/>
          <c:h val="0.24133464247945643"/>
        </c:manualLayout>
      </c:layout>
      <c:overlay val="1"/>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oneCellAnchor>
    <xdr:from>
      <xdr:col>1</xdr:col>
      <xdr:colOff>0</xdr:colOff>
      <xdr:row>27</xdr:row>
      <xdr:rowOff>0</xdr:rowOff>
    </xdr:from>
    <xdr:ext cx="5400000" cy="2700000"/>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7</xdr:col>
      <xdr:colOff>0</xdr:colOff>
      <xdr:row>27</xdr:row>
      <xdr:rowOff>0</xdr:rowOff>
    </xdr:from>
    <xdr:ext cx="5400000" cy="2700000"/>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15</xdr:row>
      <xdr:rowOff>0</xdr:rowOff>
    </xdr:from>
    <xdr:ext cx="7920000" cy="3600000"/>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1</xdr:col>
      <xdr:colOff>0</xdr:colOff>
      <xdr:row>42</xdr:row>
      <xdr:rowOff>0</xdr:rowOff>
    </xdr:from>
    <xdr:ext cx="7920000" cy="3600000"/>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1</xdr:col>
      <xdr:colOff>0</xdr:colOff>
      <xdr:row>69</xdr:row>
      <xdr:rowOff>0</xdr:rowOff>
    </xdr:from>
    <xdr:ext cx="7920000" cy="2880000"/>
    <xdr:graphicFrame macro="">
      <xdr:nvGraphicFramePr>
        <xdr:cNvPr id="4" name="Chart 3">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wsDr>
</file>

<file path=xl/drawings/drawing3.xml><?xml version="1.0" encoding="utf-8"?>
<xdr:wsDr xmlns:xdr="http://schemas.openxmlformats.org/drawingml/2006/spreadsheetDrawing" xmlns:a="http://schemas.openxmlformats.org/drawingml/2006/main">
  <xdr:oneCellAnchor>
    <xdr:from>
      <xdr:col>1</xdr:col>
      <xdr:colOff>0</xdr:colOff>
      <xdr:row>37</xdr:row>
      <xdr:rowOff>0</xdr:rowOff>
    </xdr:from>
    <xdr:ext cx="7920000" cy="4320000"/>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4.xml><?xml version="1.0" encoding="utf-8"?>
<xdr:wsDr xmlns:xdr="http://schemas.openxmlformats.org/drawingml/2006/spreadsheetDrawing" xmlns:a="http://schemas.openxmlformats.org/drawingml/2006/main">
  <xdr:oneCellAnchor>
    <xdr:from>
      <xdr:col>1</xdr:col>
      <xdr:colOff>0</xdr:colOff>
      <xdr:row>30</xdr:row>
      <xdr:rowOff>0</xdr:rowOff>
    </xdr:from>
    <xdr:ext cx="7920000" cy="4320000"/>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5.xml><?xml version="1.0" encoding="utf-8"?>
<xdr:wsDr xmlns:xdr="http://schemas.openxmlformats.org/drawingml/2006/spreadsheetDrawing" xmlns:a="http://schemas.openxmlformats.org/drawingml/2006/main">
  <xdr:oneCellAnchor>
    <xdr:from>
      <xdr:col>8</xdr:col>
      <xdr:colOff>0</xdr:colOff>
      <xdr:row>6</xdr:row>
      <xdr:rowOff>0</xdr:rowOff>
    </xdr:from>
    <xdr:ext cx="7200000" cy="5040000"/>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6.xml><?xml version="1.0" encoding="utf-8"?>
<xdr:wsDr xmlns:xdr="http://schemas.openxmlformats.org/drawingml/2006/spreadsheetDrawing" xmlns:a="http://schemas.openxmlformats.org/drawingml/2006/main">
  <xdr:oneCellAnchor>
    <xdr:from>
      <xdr:col>1</xdr:col>
      <xdr:colOff>0</xdr:colOff>
      <xdr:row>32</xdr:row>
      <xdr:rowOff>0</xdr:rowOff>
    </xdr:from>
    <xdr:ext cx="7920000" cy="3600000"/>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7.xml><?xml version="1.0" encoding="utf-8"?>
<xdr:wsDr xmlns:xdr="http://schemas.openxmlformats.org/drawingml/2006/spreadsheetDrawing" xmlns:a="http://schemas.openxmlformats.org/drawingml/2006/main">
  <xdr:oneCellAnchor>
    <xdr:from>
      <xdr:col>1</xdr:col>
      <xdr:colOff>0</xdr:colOff>
      <xdr:row>23</xdr:row>
      <xdr:rowOff>0</xdr:rowOff>
    </xdr:from>
    <xdr:ext cx="7200000" cy="3600000"/>
    <xdr:graphicFrame macro="">
      <xdr:nvGraphicFramePr>
        <xdr:cNvPr id="2" name="Chart 1">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8.xml><?xml version="1.0" encoding="utf-8"?>
<xdr:wsDr xmlns:xdr="http://schemas.openxmlformats.org/drawingml/2006/spreadsheetDrawing" xmlns:a="http://schemas.openxmlformats.org/drawingml/2006/main">
  <xdr:oneCellAnchor>
    <xdr:from>
      <xdr:col>1</xdr:col>
      <xdr:colOff>0</xdr:colOff>
      <xdr:row>31</xdr:row>
      <xdr:rowOff>0</xdr:rowOff>
    </xdr:from>
    <xdr:ext cx="7920000" cy="3600000"/>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9.xml><?xml version="1.0" encoding="utf-8"?>
<xdr:wsDr xmlns:xdr="http://schemas.openxmlformats.org/drawingml/2006/spreadsheetDrawing" xmlns:a="http://schemas.openxmlformats.org/drawingml/2006/main">
  <xdr:oneCellAnchor>
    <xdr:from>
      <xdr:col>1</xdr:col>
      <xdr:colOff>0</xdr:colOff>
      <xdr:row>37</xdr:row>
      <xdr:rowOff>0</xdr:rowOff>
    </xdr:from>
    <xdr:ext cx="7920000" cy="3600000"/>
    <xdr:graphicFrame macro="">
      <xdr:nvGraphicFramePr>
        <xdr:cNvPr id="2" name="Chart 1">
          <a:extLst>
            <a:ext uri="{FF2B5EF4-FFF2-40B4-BE49-F238E27FC236}">
              <a16:creationId xmlns:a16="http://schemas.microsoft.com/office/drawing/2014/main" id="{00000000-0008-0000-0A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10.xml><?xml version="1.0" encoding="utf-8"?>
<xdr:wsDr xmlns:xdr="http://schemas.openxmlformats.org/drawingml/2006/spreadsheetDrawing" xmlns:a="http://schemas.openxmlformats.org/drawingml/2006/main">
  <xdr:oneCellAnchor>
    <xdr:from>
      <xdr:col>1</xdr:col>
      <xdr:colOff>0</xdr:colOff>
      <xdr:row>24</xdr:row>
      <xdr:rowOff>195384</xdr:rowOff>
    </xdr:from>
    <xdr:ext cx="8586068" cy="2854787"/>
    <xdr:graphicFrame macro="">
      <xdr:nvGraphicFramePr>
        <xdr:cNvPr id="2" name="Chart 1">
          <a:extLst>
            <a:ext uri="{FF2B5EF4-FFF2-40B4-BE49-F238E27FC236}">
              <a16:creationId xmlns:a16="http://schemas.microsoft.com/office/drawing/2014/main" id="{00000000-0008-0000-0C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asterTable" displayName="MasterTable" ref="A1:AJ175">
  <autoFilter ref="A1:AJ175" xr:uid="{00000000-0009-0000-0100-000001000000}"/>
  <tableColumns count="36">
    <tableColumn id="1" xr3:uid="{00000000-0010-0000-0000-000001000000}" name="Drug"/>
    <tableColumn id="2" xr3:uid="{00000000-0010-0000-0000-000002000000}" name="INN"/>
    <tableColumn id="3" xr3:uid="{00000000-0010-0000-0000-000003000000}" name="Disease"/>
    <tableColumn id="4" xr3:uid="{00000000-0010-0000-0000-000004000000}" name="Applicant"/>
    <tableColumn id="5" xr3:uid="{00000000-0010-0000-0000-000005000000}" name="Parent_Company"/>
    <tableColumn id="6" xr3:uid="{00000000-0010-0000-0000-000006000000}" name="Technology"/>
    <tableColumn id="7" xr3:uid="{00000000-0010-0000-0000-000007000000}" name="Therapeutic_Area"/>
    <tableColumn id="8" xr3:uid="{00000000-0010-0000-0000-000008000000}" name="Severity_Tier"/>
    <tableColumn id="9" xr3:uid="{00000000-0010-0000-0000-000009000000}" name="Country"/>
    <tableColumn id="10" xr3:uid="{00000000-0010-0000-0000-00000A000000}" name="Decision_Type"/>
    <tableColumn id="11" xr3:uid="{00000000-0010-0000-0000-00000B000000}" name="Evaluation_Raw"/>
    <tableColumn id="12" xr3:uid="{00000000-0010-0000-0000-00000C000000}" name="Decision_Status_Raw"/>
    <tableColumn id="13" xr3:uid="{00000000-0010-0000-0000-00000D000000}" name="Access_Outcome"/>
    <tableColumn id="14" xr3:uid="{00000000-0010-0000-0000-00000E000000}" name="Restriction_Level"/>
    <tableColumn id="15" xr3:uid="{00000000-0010-0000-0000-00000F000000}" name="Reason_Category"/>
    <tableColumn id="16" xr3:uid="{00000000-0010-0000-0000-000010000000}" name="Decision_Year"/>
    <tableColumn id="17" xr3:uid="{00000000-0010-0000-0000-000011000000}" name="Decision_Date_Raw"/>
    <tableColumn id="18" xr3:uid="{00000000-0010-0000-0000-000012000000}" name="Comparator_Category"/>
    <tableColumn id="19" xr3:uid="{00000000-0010-0000-0000-000013000000}" name="Comparator_Raw"/>
    <tableColumn id="20" xr3:uid="{00000000-0010-0000-0000-000014000000}" name="Evidence_Type"/>
    <tableColumn id="21" xr3:uid="{00000000-0010-0000-0000-000015000000}" name="Reason_Text"/>
    <tableColumn id="22" xr3:uid="{00000000-0010-0000-0000-000016000000}" name="ICER_Raw"/>
    <tableColumn id="23" xr3:uid="{00000000-0010-0000-0000-000017000000}" name="Main_Uncertainty"/>
    <tableColumn id="24" xr3:uid="{00000000-0010-0000-0000-000018000000}" name="Conditions"/>
    <tableColumn id="25" xr3:uid="{00000000-0010-0000-0000-000019000000}" name="Notes"/>
    <tableColumn id="26" xr3:uid="{00000000-0010-0000-0000-00001A000000}" name="Comments"/>
    <tableColumn id="27" xr3:uid="{00000000-0010-0000-0000-00001B000000}" name="Data_Source"/>
    <tableColumn id="28" xr3:uid="{00000000-0010-0000-0000-00001C000000}" name="Row_Ref"/>
    <tableColumn id="29" xr3:uid="{00000000-0010-0000-0000-00001D000000}" name="Is_Positive"/>
    <tableColumn id="30" xr3:uid="{00000000-0010-0000-0000-00001E000000}" name="Is_Assessed"/>
    <tableColumn id="31" xr3:uid="{00000000-0010-0000-0000-00001F000000}" name="ICER_Min_SEK_per_QALY (Sweden only, curated)"/>
    <tableColumn id="32" xr3:uid="{00000000-0010-0000-0000-000020000000}" name="ICER_Max_SEK_per_QALY (Sweden only, curated)"/>
    <tableColumn id="33" xr3:uid="{00000000-0010-0000-0000-000021000000}" name="ICER_Basis_Note (Sweden only)"/>
    <tableColumn id="34" xr3:uid="{00000000-0010-0000-0000-000022000000}" name="Technology_Group"/>
    <tableColumn id="35" xr3:uid="{00000000-0010-0000-0000-000023000000}" name="Drug_Any_Positive (helper)"/>
    <tableColumn id="36" xr3:uid="{00000000-0010-0000-0000-000024000000}" name="Drug_First_Positive_Year (help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B46"/>
  <sheetViews>
    <sheetView showGridLines="0" workbookViewId="0"/>
  </sheetViews>
  <sheetFormatPr baseColWidth="10" defaultColWidth="8.83203125" defaultRowHeight="15" x14ac:dyDescent="0.2"/>
  <cols>
    <col min="1" max="1" width="4" customWidth="1"/>
    <col min="2" max="2" width="110" customWidth="1"/>
  </cols>
  <sheetData>
    <row r="2" spans="2:2" ht="18" x14ac:dyDescent="0.2">
      <c r="B2" s="4" t="s">
        <v>0</v>
      </c>
    </row>
    <row r="3" spans="2:2" x14ac:dyDescent="0.2">
      <c r="B3" s="5" t="s">
        <v>1</v>
      </c>
    </row>
    <row r="5" spans="2:2" ht="16" x14ac:dyDescent="0.2">
      <c r="B5" s="6" t="s">
        <v>2</v>
      </c>
    </row>
    <row r="6" spans="2:2" ht="70" x14ac:dyDescent="0.2">
      <c r="B6" s="7" t="s">
        <v>3</v>
      </c>
    </row>
    <row r="7" spans="2:2" ht="42" x14ac:dyDescent="0.2">
      <c r="B7" s="7" t="s">
        <v>4</v>
      </c>
    </row>
    <row r="8" spans="2:2" ht="28" x14ac:dyDescent="0.2">
      <c r="B8" s="7" t="s">
        <v>5</v>
      </c>
    </row>
    <row r="10" spans="2:2" ht="16" x14ac:dyDescent="0.2">
      <c r="B10" s="6" t="s">
        <v>6</v>
      </c>
    </row>
    <row r="11" spans="2:2" ht="84" x14ac:dyDescent="0.2">
      <c r="B11" s="7" t="s">
        <v>7</v>
      </c>
    </row>
    <row r="12" spans="2:2" ht="84" x14ac:dyDescent="0.2">
      <c r="B12" s="7" t="s">
        <v>8</v>
      </c>
    </row>
    <row r="13" spans="2:2" ht="42" x14ac:dyDescent="0.2">
      <c r="B13" s="7" t="s">
        <v>9</v>
      </c>
    </row>
    <row r="15" spans="2:2" ht="16" x14ac:dyDescent="0.2">
      <c r="B15" s="6" t="s">
        <v>10</v>
      </c>
    </row>
    <row r="16" spans="2:2" ht="98" x14ac:dyDescent="0.2">
      <c r="B16" s="7" t="s">
        <v>11</v>
      </c>
    </row>
    <row r="18" spans="2:2" ht="16" x14ac:dyDescent="0.2">
      <c r="B18" s="6" t="s">
        <v>12</v>
      </c>
    </row>
    <row r="19" spans="2:2" ht="56" x14ac:dyDescent="0.2">
      <c r="B19" s="7" t="s">
        <v>13</v>
      </c>
    </row>
    <row r="20" spans="2:2" ht="28" x14ac:dyDescent="0.2">
      <c r="B20" s="7" t="s">
        <v>14</v>
      </c>
    </row>
    <row r="21" spans="2:2" ht="28" x14ac:dyDescent="0.2">
      <c r="B21" s="7" t="s">
        <v>15</v>
      </c>
    </row>
    <row r="22" spans="2:2" ht="42" x14ac:dyDescent="0.2">
      <c r="B22" s="7" t="s">
        <v>16</v>
      </c>
    </row>
    <row r="23" spans="2:2" ht="28" x14ac:dyDescent="0.2">
      <c r="B23" s="7" t="s">
        <v>17</v>
      </c>
    </row>
    <row r="25" spans="2:2" ht="16" x14ac:dyDescent="0.2">
      <c r="B25" s="6" t="s">
        <v>18</v>
      </c>
    </row>
    <row r="26" spans="2:2" ht="42" x14ac:dyDescent="0.2">
      <c r="B26" s="7" t="s">
        <v>19</v>
      </c>
    </row>
    <row r="27" spans="2:2" ht="42" x14ac:dyDescent="0.2">
      <c r="B27" s="7" t="s">
        <v>20</v>
      </c>
    </row>
    <row r="28" spans="2:2" ht="42" x14ac:dyDescent="0.2">
      <c r="B28" s="7" t="s">
        <v>21</v>
      </c>
    </row>
    <row r="29" spans="2:2" ht="28" x14ac:dyDescent="0.2">
      <c r="B29" s="7" t="s">
        <v>22</v>
      </c>
    </row>
    <row r="30" spans="2:2" ht="28" x14ac:dyDescent="0.2">
      <c r="B30" s="7" t="s">
        <v>23</v>
      </c>
    </row>
    <row r="31" spans="2:2" ht="56" x14ac:dyDescent="0.2">
      <c r="B31" s="7" t="s">
        <v>24</v>
      </c>
    </row>
    <row r="32" spans="2:2" ht="28" x14ac:dyDescent="0.2">
      <c r="B32" s="7" t="s">
        <v>25</v>
      </c>
    </row>
    <row r="34" spans="2:2" ht="16" x14ac:dyDescent="0.2">
      <c r="B34" s="6" t="s">
        <v>26</v>
      </c>
    </row>
    <row r="35" spans="2:2" ht="42" x14ac:dyDescent="0.2">
      <c r="B35" s="7" t="s">
        <v>27</v>
      </c>
    </row>
    <row r="36" spans="2:2" ht="70" x14ac:dyDescent="0.2">
      <c r="B36" s="7" t="s">
        <v>28</v>
      </c>
    </row>
    <row r="37" spans="2:2" ht="70" x14ac:dyDescent="0.2">
      <c r="B37" s="7" t="s">
        <v>29</v>
      </c>
    </row>
    <row r="39" spans="2:2" ht="16" x14ac:dyDescent="0.2">
      <c r="B39" s="6" t="s">
        <v>30</v>
      </c>
    </row>
    <row r="40" spans="2:2" ht="70" x14ac:dyDescent="0.2">
      <c r="B40" s="7" t="s">
        <v>31</v>
      </c>
    </row>
    <row r="42" spans="2:2" ht="16" x14ac:dyDescent="0.2">
      <c r="B42" s="6" t="s">
        <v>32</v>
      </c>
    </row>
    <row r="43" spans="2:2" ht="56" x14ac:dyDescent="0.2">
      <c r="B43" s="7" t="s">
        <v>33</v>
      </c>
    </row>
    <row r="45" spans="2:2" ht="16" x14ac:dyDescent="0.2">
      <c r="B45" s="6" t="s">
        <v>34</v>
      </c>
    </row>
    <row r="46" spans="2:2" ht="112" x14ac:dyDescent="0.2">
      <c r="B46" s="7" t="s">
        <v>35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175"/>
  <sheetViews>
    <sheetView showGridLines="0" workbookViewId="0">
      <pane xSplit="2" ySplit="1" topLeftCell="C2" activePane="bottomRight" state="frozen"/>
      <selection pane="topRight"/>
      <selection pane="bottomLeft"/>
      <selection pane="bottomRight"/>
    </sheetView>
  </sheetViews>
  <sheetFormatPr baseColWidth="10" defaultColWidth="8.83203125" defaultRowHeight="15" x14ac:dyDescent="0.2"/>
  <cols>
    <col min="1" max="1" width="16" customWidth="1"/>
    <col min="2" max="2" width="20" customWidth="1"/>
    <col min="3" max="3" width="24" customWidth="1"/>
    <col min="4" max="4" width="18" customWidth="1"/>
    <col min="5" max="5" width="20" customWidth="1"/>
    <col min="6" max="6" width="26" customWidth="1"/>
    <col min="7" max="7" width="20" customWidth="1"/>
    <col min="8" max="8" width="24" customWidth="1"/>
    <col min="9" max="9" width="10" customWidth="1"/>
    <col min="10" max="10" width="24" customWidth="1"/>
    <col min="11" max="12" width="30" customWidth="1"/>
    <col min="13" max="13" width="16" customWidth="1"/>
    <col min="14" max="14" width="14" customWidth="1"/>
    <col min="15" max="15" width="20" customWidth="1"/>
    <col min="16" max="16" width="12" customWidth="1"/>
    <col min="17" max="18" width="26" customWidth="1"/>
    <col min="19" max="19" width="30" customWidth="1"/>
    <col min="20" max="21" width="22" customWidth="1"/>
    <col min="22" max="24" width="30" customWidth="1"/>
    <col min="25" max="26" width="34" customWidth="1"/>
    <col min="27" max="27" width="22" customWidth="1"/>
    <col min="28" max="28" width="10" customWidth="1"/>
    <col min="29" max="30" width="12" customWidth="1"/>
    <col min="31" max="32" width="20" customWidth="1"/>
    <col min="33" max="33" width="40" customWidth="1"/>
    <col min="34" max="34" width="22" customWidth="1"/>
    <col min="35" max="35" width="14" customWidth="1"/>
    <col min="36" max="36" width="16" customWidth="1"/>
  </cols>
  <sheetData>
    <row r="1" spans="1:36" ht="28" x14ac:dyDescent="0.2">
      <c r="A1" s="1" t="s">
        <v>36</v>
      </c>
      <c r="B1" s="1" t="s">
        <v>37</v>
      </c>
      <c r="C1" s="1" t="s">
        <v>38</v>
      </c>
      <c r="D1" s="1" t="s">
        <v>39</v>
      </c>
      <c r="E1" s="1" t="s">
        <v>40</v>
      </c>
      <c r="F1" s="1" t="s">
        <v>41</v>
      </c>
      <c r="G1" s="1" t="s">
        <v>42</v>
      </c>
      <c r="H1" s="1" t="s">
        <v>43</v>
      </c>
      <c r="I1" s="1" t="s">
        <v>44</v>
      </c>
      <c r="J1" s="1" t="s">
        <v>45</v>
      </c>
      <c r="K1" s="1" t="s">
        <v>46</v>
      </c>
      <c r="L1" s="1" t="s">
        <v>47</v>
      </c>
      <c r="M1" s="1" t="s">
        <v>48</v>
      </c>
      <c r="N1" s="1" t="s">
        <v>49</v>
      </c>
      <c r="O1" s="1" t="s">
        <v>50</v>
      </c>
      <c r="P1" s="1" t="s">
        <v>51</v>
      </c>
      <c r="Q1" s="1" t="s">
        <v>52</v>
      </c>
      <c r="R1" s="1" t="s">
        <v>53</v>
      </c>
      <c r="S1" s="1" t="s">
        <v>54</v>
      </c>
      <c r="T1" s="1" t="s">
        <v>55</v>
      </c>
      <c r="U1" s="1" t="s">
        <v>56</v>
      </c>
      <c r="V1" s="1" t="s">
        <v>57</v>
      </c>
      <c r="W1" s="1" t="s">
        <v>58</v>
      </c>
      <c r="X1" s="1" t="s">
        <v>59</v>
      </c>
      <c r="Y1" s="1" t="s">
        <v>60</v>
      </c>
      <c r="Z1" s="1" t="s">
        <v>61</v>
      </c>
      <c r="AA1" s="1" t="s">
        <v>62</v>
      </c>
      <c r="AB1" s="1" t="s">
        <v>63</v>
      </c>
      <c r="AC1" s="2" t="s">
        <v>64</v>
      </c>
      <c r="AD1" s="2" t="s">
        <v>65</v>
      </c>
      <c r="AE1" s="2" t="s">
        <v>66</v>
      </c>
      <c r="AF1" s="2" t="s">
        <v>67</v>
      </c>
      <c r="AG1" s="2" t="s">
        <v>68</v>
      </c>
      <c r="AH1" s="2" t="s">
        <v>69</v>
      </c>
      <c r="AI1" s="2" t="s">
        <v>70</v>
      </c>
      <c r="AJ1" s="2" t="s">
        <v>71</v>
      </c>
    </row>
    <row r="2" spans="1:36" x14ac:dyDescent="0.2">
      <c r="A2" s="3" t="s">
        <v>72</v>
      </c>
      <c r="B2" s="3" t="s">
        <v>73</v>
      </c>
      <c r="C2" s="3" t="s">
        <v>74</v>
      </c>
      <c r="D2" s="3" t="s">
        <v>75</v>
      </c>
      <c r="E2" s="3" t="s">
        <v>76</v>
      </c>
      <c r="F2" s="3" t="s">
        <v>77</v>
      </c>
      <c r="G2" s="3" t="s">
        <v>78</v>
      </c>
      <c r="H2" s="3" t="s">
        <v>79</v>
      </c>
      <c r="I2" s="3" t="s">
        <v>80</v>
      </c>
      <c r="J2" s="3" t="s">
        <v>81</v>
      </c>
      <c r="K2" s="3" t="s">
        <v>82</v>
      </c>
      <c r="L2" s="3" t="s">
        <v>83</v>
      </c>
      <c r="M2" s="3" t="s">
        <v>84</v>
      </c>
      <c r="N2" s="3" t="s">
        <v>85</v>
      </c>
      <c r="O2" s="3" t="s">
        <v>86</v>
      </c>
      <c r="P2" s="3">
        <v>2021</v>
      </c>
      <c r="Q2" s="3" t="s">
        <v>87</v>
      </c>
      <c r="R2" s="3" t="s">
        <v>88</v>
      </c>
      <c r="S2" s="3" t="s">
        <v>89</v>
      </c>
      <c r="T2" s="3" t="s">
        <v>90</v>
      </c>
      <c r="U2" s="3" t="s">
        <v>86</v>
      </c>
      <c r="V2" s="3" t="s">
        <v>91</v>
      </c>
      <c r="W2" s="3" t="s">
        <v>92</v>
      </c>
      <c r="X2" s="3" t="s">
        <v>93</v>
      </c>
      <c r="Y2" s="3" t="s">
        <v>94</v>
      </c>
      <c r="Z2" s="3" t="s">
        <v>95</v>
      </c>
      <c r="AA2" s="3" t="s">
        <v>96</v>
      </c>
      <c r="AB2" s="3">
        <v>4</v>
      </c>
      <c r="AC2" s="3">
        <f t="shared" ref="AC2:AC33" si="0">IF(OR($M2="Positive",$M2="Restricted Positive"),1,0)</f>
        <v>0</v>
      </c>
      <c r="AD2" s="3">
        <f t="shared" ref="AD2:AD33" si="1">IF($M2="Not Evaluated",0,1)</f>
        <v>1</v>
      </c>
      <c r="AE2" s="19">
        <v>850000</v>
      </c>
      <c r="AF2" s="19">
        <v>5700000</v>
      </c>
      <c r="AG2" s="20" t="s">
        <v>97</v>
      </c>
      <c r="AH2" s="3" t="s">
        <v>98</v>
      </c>
      <c r="AI2" s="3">
        <f t="shared" ref="AI2:AI33" si="2">IF(COUNTIFS($A$2:$A$175,$A2,$C$2:$C$175,$C2,$AC$2:$AC$175,1)&gt;0,1,0)</f>
        <v>1</v>
      </c>
      <c r="AJ2" s="3" t="str">
        <f ca="1">IFERROR(_xludf.MINIFS($P$2:$P$175,$A$2:$A$175,$A2,$C$2:$C$175,$C2,$AC$2:$AC$175,1),"")</f>
        <v/>
      </c>
    </row>
    <row r="3" spans="1:36" x14ac:dyDescent="0.2">
      <c r="A3" s="3" t="s">
        <v>72</v>
      </c>
      <c r="B3" s="3" t="s">
        <v>73</v>
      </c>
      <c r="C3" s="3" t="s">
        <v>74</v>
      </c>
      <c r="D3" s="3" t="s">
        <v>75</v>
      </c>
      <c r="E3" s="3" t="s">
        <v>76</v>
      </c>
      <c r="F3" s="3" t="s">
        <v>77</v>
      </c>
      <c r="G3" s="3" t="s">
        <v>78</v>
      </c>
      <c r="H3" s="3" t="s">
        <v>79</v>
      </c>
      <c r="I3" s="3" t="s">
        <v>99</v>
      </c>
      <c r="J3" s="3" t="s">
        <v>81</v>
      </c>
      <c r="K3" s="3" t="s">
        <v>100</v>
      </c>
      <c r="L3" s="3" t="s">
        <v>101</v>
      </c>
      <c r="M3" s="3" t="s">
        <v>102</v>
      </c>
      <c r="N3" s="3" t="s">
        <v>103</v>
      </c>
      <c r="O3" s="3" t="s">
        <v>104</v>
      </c>
      <c r="P3" s="3">
        <v>2021</v>
      </c>
      <c r="Q3" s="3" t="s">
        <v>105</v>
      </c>
      <c r="R3" s="3" t="s">
        <v>88</v>
      </c>
      <c r="S3" s="3" t="s">
        <v>106</v>
      </c>
      <c r="T3" s="3" t="s">
        <v>90</v>
      </c>
      <c r="U3" s="3" t="s">
        <v>107</v>
      </c>
      <c r="V3" s="3" t="s">
        <v>108</v>
      </c>
      <c r="W3" s="3" t="s">
        <v>109</v>
      </c>
      <c r="X3" s="3" t="s">
        <v>110</v>
      </c>
      <c r="Y3" s="3" t="s">
        <v>111</v>
      </c>
      <c r="Z3" s="3" t="s">
        <v>112</v>
      </c>
      <c r="AA3" s="3" t="s">
        <v>96</v>
      </c>
      <c r="AB3" s="3">
        <v>4</v>
      </c>
      <c r="AC3" s="3">
        <f t="shared" si="0"/>
        <v>1</v>
      </c>
      <c r="AD3" s="3">
        <f t="shared" si="1"/>
        <v>1</v>
      </c>
      <c r="AH3" s="3" t="s">
        <v>98</v>
      </c>
      <c r="AI3" s="3">
        <f t="shared" si="2"/>
        <v>1</v>
      </c>
      <c r="AJ3" s="3" t="str">
        <f ca="1">IFERROR(_xludf.MINIFS($P$2:$P$175,$A$2:$A$175,$A3,$C$2:$C$175,$C3,$AC$2:$AC$175,1),"")</f>
        <v/>
      </c>
    </row>
    <row r="4" spans="1:36" x14ac:dyDescent="0.2">
      <c r="A4" s="3" t="s">
        <v>72</v>
      </c>
      <c r="B4" s="3" t="s">
        <v>73</v>
      </c>
      <c r="C4" s="3" t="s">
        <v>74</v>
      </c>
      <c r="D4" s="3" t="s">
        <v>75</v>
      </c>
      <c r="E4" s="3" t="s">
        <v>76</v>
      </c>
      <c r="F4" s="3" t="s">
        <v>77</v>
      </c>
      <c r="G4" s="3" t="s">
        <v>78</v>
      </c>
      <c r="H4" s="3" t="s">
        <v>79</v>
      </c>
      <c r="I4" s="3" t="s">
        <v>113</v>
      </c>
      <c r="J4" s="3" t="s">
        <v>114</v>
      </c>
      <c r="K4" s="3" t="s">
        <v>115</v>
      </c>
      <c r="L4" s="3" t="s">
        <v>116</v>
      </c>
      <c r="M4" s="3" t="s">
        <v>102</v>
      </c>
      <c r="N4" s="3" t="s">
        <v>103</v>
      </c>
      <c r="O4" s="3" t="s">
        <v>104</v>
      </c>
      <c r="P4" s="3">
        <v>2021</v>
      </c>
      <c r="Q4" s="3" t="s">
        <v>117</v>
      </c>
      <c r="R4" s="3" t="s">
        <v>88</v>
      </c>
      <c r="S4" s="3" t="s">
        <v>118</v>
      </c>
      <c r="T4" s="3" t="s">
        <v>119</v>
      </c>
      <c r="U4" s="3" t="s">
        <v>107</v>
      </c>
      <c r="V4" s="3" t="s">
        <v>120</v>
      </c>
      <c r="W4" s="3" t="s">
        <v>121</v>
      </c>
      <c r="X4" s="3" t="s">
        <v>122</v>
      </c>
      <c r="Y4" s="3" t="s">
        <v>123</v>
      </c>
      <c r="Z4" s="3" t="s">
        <v>124</v>
      </c>
      <c r="AA4" s="3" t="s">
        <v>96</v>
      </c>
      <c r="AB4" s="3">
        <v>4</v>
      </c>
      <c r="AC4" s="3">
        <f t="shared" si="0"/>
        <v>1</v>
      </c>
      <c r="AD4" s="3">
        <f t="shared" si="1"/>
        <v>1</v>
      </c>
      <c r="AH4" s="3" t="s">
        <v>98</v>
      </c>
      <c r="AI4" s="3">
        <f t="shared" si="2"/>
        <v>1</v>
      </c>
      <c r="AJ4" s="3" t="str">
        <f ca="1">IFERROR(_xludf.MINIFS($P$2:$P$175,$A$2:$A$175,$A4,$C$2:$C$175,$C4,$AC$2:$AC$175,1),"")</f>
        <v/>
      </c>
    </row>
    <row r="5" spans="1:36" x14ac:dyDescent="0.2">
      <c r="A5" s="3" t="s">
        <v>125</v>
      </c>
      <c r="B5" s="3" t="s">
        <v>126</v>
      </c>
      <c r="C5" s="3" t="s">
        <v>74</v>
      </c>
      <c r="D5" s="3" t="s">
        <v>127</v>
      </c>
      <c r="E5" s="3" t="s">
        <v>128</v>
      </c>
      <c r="F5" s="3" t="s">
        <v>129</v>
      </c>
      <c r="G5" s="3" t="s">
        <v>78</v>
      </c>
      <c r="H5" s="3" t="s">
        <v>79</v>
      </c>
      <c r="I5" s="3" t="s">
        <v>80</v>
      </c>
      <c r="J5" s="3" t="s">
        <v>130</v>
      </c>
      <c r="K5" s="3" t="s">
        <v>131</v>
      </c>
      <c r="L5" s="3" t="s">
        <v>132</v>
      </c>
      <c r="M5" s="3" t="s">
        <v>133</v>
      </c>
      <c r="N5" s="3" t="s">
        <v>134</v>
      </c>
      <c r="O5" s="3" t="s">
        <v>135</v>
      </c>
      <c r="P5" s="3">
        <v>2021</v>
      </c>
      <c r="Q5" s="3" t="s">
        <v>136</v>
      </c>
      <c r="R5" s="3" t="s">
        <v>88</v>
      </c>
      <c r="S5" s="3" t="s">
        <v>137</v>
      </c>
      <c r="T5" s="3" t="s">
        <v>90</v>
      </c>
      <c r="U5" s="3" t="s">
        <v>107</v>
      </c>
      <c r="V5" s="3" t="s">
        <v>138</v>
      </c>
      <c r="W5" s="3" t="s">
        <v>139</v>
      </c>
      <c r="X5" s="3" t="s">
        <v>140</v>
      </c>
      <c r="Y5" s="3" t="s">
        <v>141</v>
      </c>
      <c r="Z5" s="3" t="s">
        <v>142</v>
      </c>
      <c r="AA5" s="3" t="s">
        <v>96</v>
      </c>
      <c r="AB5" s="3">
        <v>5</v>
      </c>
      <c r="AC5" s="3">
        <f t="shared" si="0"/>
        <v>1</v>
      </c>
      <c r="AD5" s="3">
        <f t="shared" si="1"/>
        <v>1</v>
      </c>
      <c r="AE5" s="19">
        <v>800000</v>
      </c>
      <c r="AF5" s="19">
        <v>7900000</v>
      </c>
      <c r="AG5" s="20" t="s">
        <v>143</v>
      </c>
      <c r="AH5" s="3" t="s">
        <v>129</v>
      </c>
      <c r="AI5" s="3">
        <f t="shared" si="2"/>
        <v>1</v>
      </c>
      <c r="AJ5" s="3" t="str">
        <f ca="1">IFERROR(_xludf.MINIFS($P$2:$P$175,$A$2:$A$175,$A5,$C$2:$C$175,$C5,$AC$2:$AC$175,1),"")</f>
        <v/>
      </c>
    </row>
    <row r="6" spans="1:36" x14ac:dyDescent="0.2">
      <c r="A6" s="3" t="s">
        <v>125</v>
      </c>
      <c r="B6" s="3" t="s">
        <v>126</v>
      </c>
      <c r="C6" s="3" t="s">
        <v>74</v>
      </c>
      <c r="D6" s="3" t="s">
        <v>127</v>
      </c>
      <c r="E6" s="3" t="s">
        <v>128</v>
      </c>
      <c r="F6" s="3" t="s">
        <v>129</v>
      </c>
      <c r="G6" s="3" t="s">
        <v>78</v>
      </c>
      <c r="H6" s="3" t="s">
        <v>79</v>
      </c>
      <c r="I6" s="3" t="s">
        <v>99</v>
      </c>
      <c r="J6" s="3" t="s">
        <v>81</v>
      </c>
      <c r="K6" s="3" t="s">
        <v>144</v>
      </c>
      <c r="L6" s="3" t="s">
        <v>145</v>
      </c>
      <c r="M6" s="3" t="s">
        <v>102</v>
      </c>
      <c r="N6" s="3" t="s">
        <v>103</v>
      </c>
      <c r="O6" s="3" t="s">
        <v>104</v>
      </c>
      <c r="P6" s="3">
        <v>2021</v>
      </c>
      <c r="Q6" s="3" t="s">
        <v>146</v>
      </c>
      <c r="R6" s="3" t="s">
        <v>88</v>
      </c>
      <c r="S6" s="3" t="s">
        <v>147</v>
      </c>
      <c r="T6" s="3" t="s">
        <v>90</v>
      </c>
      <c r="U6" s="3" t="s">
        <v>107</v>
      </c>
      <c r="V6" s="3" t="s">
        <v>148</v>
      </c>
      <c r="W6" s="3" t="s">
        <v>149</v>
      </c>
      <c r="X6" s="3" t="s">
        <v>150</v>
      </c>
      <c r="Y6" s="3" t="s">
        <v>151</v>
      </c>
      <c r="Z6" s="3" t="s">
        <v>152</v>
      </c>
      <c r="AA6" s="3" t="s">
        <v>96</v>
      </c>
      <c r="AB6" s="3">
        <v>5</v>
      </c>
      <c r="AC6" s="3">
        <f t="shared" si="0"/>
        <v>1</v>
      </c>
      <c r="AD6" s="3">
        <f t="shared" si="1"/>
        <v>1</v>
      </c>
      <c r="AH6" s="3" t="s">
        <v>129</v>
      </c>
      <c r="AI6" s="3">
        <f t="shared" si="2"/>
        <v>1</v>
      </c>
      <c r="AJ6" s="3" t="str">
        <f ca="1">IFERROR(_xludf.MINIFS($P$2:$P$175,$A$2:$A$175,$A6,$C$2:$C$175,$C6,$AC$2:$AC$175,1),"")</f>
        <v/>
      </c>
    </row>
    <row r="7" spans="1:36" x14ac:dyDescent="0.2">
      <c r="A7" s="3" t="s">
        <v>125</v>
      </c>
      <c r="B7" s="3" t="s">
        <v>126</v>
      </c>
      <c r="C7" s="3" t="s">
        <v>74</v>
      </c>
      <c r="D7" s="3" t="s">
        <v>127</v>
      </c>
      <c r="E7" s="3" t="s">
        <v>128</v>
      </c>
      <c r="F7" s="3" t="s">
        <v>129</v>
      </c>
      <c r="G7" s="3" t="s">
        <v>78</v>
      </c>
      <c r="H7" s="3" t="s">
        <v>79</v>
      </c>
      <c r="I7" s="3" t="s">
        <v>113</v>
      </c>
      <c r="J7" s="3" t="s">
        <v>114</v>
      </c>
      <c r="K7" s="3" t="s">
        <v>153</v>
      </c>
      <c r="L7" s="3" t="s">
        <v>154</v>
      </c>
      <c r="M7" s="3" t="s">
        <v>102</v>
      </c>
      <c r="N7" s="3" t="s">
        <v>103</v>
      </c>
      <c r="O7" s="3" t="s">
        <v>104</v>
      </c>
      <c r="P7" s="3">
        <v>2022</v>
      </c>
      <c r="Q7" s="3" t="s">
        <v>155</v>
      </c>
      <c r="R7" s="3" t="s">
        <v>88</v>
      </c>
      <c r="S7" s="3" t="s">
        <v>156</v>
      </c>
      <c r="T7" s="3" t="s">
        <v>90</v>
      </c>
      <c r="U7" s="3" t="s">
        <v>157</v>
      </c>
      <c r="V7" s="3" t="s">
        <v>158</v>
      </c>
      <c r="W7" s="3" t="s">
        <v>159</v>
      </c>
      <c r="X7" s="3" t="s">
        <v>160</v>
      </c>
      <c r="Y7" s="3" t="s">
        <v>161</v>
      </c>
      <c r="Z7" s="3" t="s">
        <v>162</v>
      </c>
      <c r="AA7" s="3" t="s">
        <v>96</v>
      </c>
      <c r="AB7" s="3">
        <v>5</v>
      </c>
      <c r="AC7" s="3">
        <f t="shared" si="0"/>
        <v>1</v>
      </c>
      <c r="AD7" s="3">
        <f t="shared" si="1"/>
        <v>1</v>
      </c>
      <c r="AH7" s="3" t="s">
        <v>129</v>
      </c>
      <c r="AI7" s="3">
        <f t="shared" si="2"/>
        <v>1</v>
      </c>
      <c r="AJ7" s="3" t="str">
        <f ca="1">IFERROR(_xludf.MINIFS($P$2:$P$175,$A$2:$A$175,$A7,$C$2:$C$175,$C7,$AC$2:$AC$175,1),"")</f>
        <v/>
      </c>
    </row>
    <row r="8" spans="1:36" x14ac:dyDescent="0.2">
      <c r="A8" s="3" t="s">
        <v>163</v>
      </c>
      <c r="B8" s="3" t="s">
        <v>164</v>
      </c>
      <c r="C8" s="3" t="s">
        <v>74</v>
      </c>
      <c r="D8" s="3" t="s">
        <v>165</v>
      </c>
      <c r="E8" s="3" t="s">
        <v>166</v>
      </c>
      <c r="F8" s="3" t="s">
        <v>167</v>
      </c>
      <c r="G8" s="3" t="s">
        <v>78</v>
      </c>
      <c r="H8" s="3" t="s">
        <v>79</v>
      </c>
      <c r="I8" s="3" t="s">
        <v>80</v>
      </c>
      <c r="J8" s="3" t="s">
        <v>81</v>
      </c>
      <c r="K8" s="3" t="s">
        <v>82</v>
      </c>
      <c r="L8" s="3" t="s">
        <v>168</v>
      </c>
      <c r="M8" s="3" t="s">
        <v>102</v>
      </c>
      <c r="N8" s="3" t="s">
        <v>103</v>
      </c>
      <c r="O8" s="3" t="s">
        <v>104</v>
      </c>
      <c r="P8" s="3">
        <v>2017</v>
      </c>
      <c r="Q8" s="3" t="s">
        <v>169</v>
      </c>
      <c r="R8" s="3" t="s">
        <v>170</v>
      </c>
      <c r="S8" s="3" t="s">
        <v>171</v>
      </c>
      <c r="T8" s="3" t="s">
        <v>119</v>
      </c>
      <c r="U8" s="3" t="s">
        <v>86</v>
      </c>
      <c r="V8" s="3" t="s">
        <v>172</v>
      </c>
      <c r="W8" s="3" t="s">
        <v>173</v>
      </c>
      <c r="X8" s="3" t="s">
        <v>174</v>
      </c>
      <c r="Y8" s="3" t="s">
        <v>175</v>
      </c>
      <c r="Z8" s="3" t="s">
        <v>176</v>
      </c>
      <c r="AA8" s="3" t="s">
        <v>96</v>
      </c>
      <c r="AB8" s="3">
        <v>6</v>
      </c>
      <c r="AC8" s="3">
        <f t="shared" si="0"/>
        <v>1</v>
      </c>
      <c r="AD8" s="3">
        <f t="shared" si="1"/>
        <v>1</v>
      </c>
      <c r="AE8" s="19">
        <v>4100000</v>
      </c>
      <c r="AF8" s="19">
        <v>12800000</v>
      </c>
      <c r="AG8" s="20" t="s">
        <v>177</v>
      </c>
      <c r="AH8" s="3" t="s">
        <v>178</v>
      </c>
      <c r="AI8" s="3">
        <f t="shared" si="2"/>
        <v>1</v>
      </c>
      <c r="AJ8" s="3" t="str">
        <f ca="1">IFERROR(_xludf.MINIFS($P$2:$P$175,$A$2:$A$175,$A8,$C$2:$C$175,$C8,$AC$2:$AC$175,1),"")</f>
        <v/>
      </c>
    </row>
    <row r="9" spans="1:36" x14ac:dyDescent="0.2">
      <c r="A9" s="3" t="s">
        <v>163</v>
      </c>
      <c r="B9" s="3" t="s">
        <v>164</v>
      </c>
      <c r="C9" s="3" t="s">
        <v>74</v>
      </c>
      <c r="D9" s="3" t="s">
        <v>165</v>
      </c>
      <c r="E9" s="3" t="s">
        <v>166</v>
      </c>
      <c r="F9" s="3" t="s">
        <v>167</v>
      </c>
      <c r="G9" s="3" t="s">
        <v>78</v>
      </c>
      <c r="H9" s="3" t="s">
        <v>79</v>
      </c>
      <c r="I9" s="3" t="s">
        <v>99</v>
      </c>
      <c r="J9" s="3" t="s">
        <v>130</v>
      </c>
      <c r="K9" s="3" t="s">
        <v>179</v>
      </c>
      <c r="L9" s="3" t="s">
        <v>180</v>
      </c>
      <c r="M9" s="3" t="s">
        <v>133</v>
      </c>
      <c r="N9" s="3" t="s">
        <v>134</v>
      </c>
      <c r="O9" s="3" t="s">
        <v>86</v>
      </c>
      <c r="P9" s="3">
        <v>2017</v>
      </c>
      <c r="Q9" s="3" t="s">
        <v>181</v>
      </c>
      <c r="R9" s="3" t="s">
        <v>88</v>
      </c>
      <c r="S9" s="3" t="s">
        <v>182</v>
      </c>
      <c r="T9" s="3" t="s">
        <v>90</v>
      </c>
      <c r="U9" s="3" t="s">
        <v>183</v>
      </c>
      <c r="V9" s="3" t="s">
        <v>184</v>
      </c>
      <c r="W9" s="3" t="s">
        <v>185</v>
      </c>
      <c r="X9" s="3" t="s">
        <v>186</v>
      </c>
      <c r="Y9" s="3" t="s">
        <v>187</v>
      </c>
      <c r="Z9" s="3" t="s">
        <v>188</v>
      </c>
      <c r="AA9" s="3" t="s">
        <v>96</v>
      </c>
      <c r="AB9" s="3">
        <v>6</v>
      </c>
      <c r="AC9" s="3">
        <f t="shared" si="0"/>
        <v>1</v>
      </c>
      <c r="AD9" s="3">
        <f t="shared" si="1"/>
        <v>1</v>
      </c>
      <c r="AH9" s="3" t="s">
        <v>178</v>
      </c>
      <c r="AI9" s="3">
        <f t="shared" si="2"/>
        <v>1</v>
      </c>
      <c r="AJ9" s="3" t="str">
        <f ca="1">IFERROR(_xludf.MINIFS($P$2:$P$175,$A$2:$A$175,$A9,$C$2:$C$175,$C9,$AC$2:$AC$175,1),"")</f>
        <v/>
      </c>
    </row>
    <row r="10" spans="1:36" x14ac:dyDescent="0.2">
      <c r="A10" s="3" t="s">
        <v>163</v>
      </c>
      <c r="B10" s="3" t="s">
        <v>164</v>
      </c>
      <c r="C10" s="3" t="s">
        <v>74</v>
      </c>
      <c r="D10" s="3" t="s">
        <v>165</v>
      </c>
      <c r="E10" s="3" t="s">
        <v>166</v>
      </c>
      <c r="F10" s="3" t="s">
        <v>167</v>
      </c>
      <c r="G10" s="3" t="s">
        <v>78</v>
      </c>
      <c r="H10" s="3" t="s">
        <v>79</v>
      </c>
      <c r="I10" s="3" t="s">
        <v>113</v>
      </c>
      <c r="J10" s="3" t="s">
        <v>114</v>
      </c>
      <c r="K10" s="3" t="s">
        <v>189</v>
      </c>
      <c r="L10" s="3" t="s">
        <v>190</v>
      </c>
      <c r="M10" s="3" t="s">
        <v>133</v>
      </c>
      <c r="N10" s="3" t="s">
        <v>134</v>
      </c>
      <c r="O10" s="3" t="s">
        <v>104</v>
      </c>
      <c r="P10" s="3">
        <v>2017</v>
      </c>
      <c r="Q10" s="3" t="s">
        <v>191</v>
      </c>
      <c r="R10" s="3" t="s">
        <v>170</v>
      </c>
      <c r="S10" s="3" t="s">
        <v>192</v>
      </c>
      <c r="T10" s="3" t="s">
        <v>119</v>
      </c>
      <c r="U10" s="3" t="s">
        <v>107</v>
      </c>
      <c r="V10" s="3" t="s">
        <v>193</v>
      </c>
      <c r="W10" s="3" t="s">
        <v>194</v>
      </c>
      <c r="X10" s="3" t="s">
        <v>195</v>
      </c>
      <c r="Y10" s="3" t="s">
        <v>196</v>
      </c>
      <c r="Z10" s="3" t="s">
        <v>197</v>
      </c>
      <c r="AA10" s="3" t="s">
        <v>96</v>
      </c>
      <c r="AB10" s="3">
        <v>6</v>
      </c>
      <c r="AC10" s="3">
        <f t="shared" si="0"/>
        <v>1</v>
      </c>
      <c r="AD10" s="3">
        <f t="shared" si="1"/>
        <v>1</v>
      </c>
      <c r="AH10" s="3" t="s">
        <v>178</v>
      </c>
      <c r="AI10" s="3">
        <f t="shared" si="2"/>
        <v>1</v>
      </c>
      <c r="AJ10" s="3" t="str">
        <f ca="1">IFERROR(_xludf.MINIFS($P$2:$P$175,$A$2:$A$175,$A10,$C$2:$C$175,$C10,$AC$2:$AC$175,1),"")</f>
        <v/>
      </c>
    </row>
    <row r="11" spans="1:36" x14ac:dyDescent="0.2">
      <c r="A11" s="3" t="s">
        <v>198</v>
      </c>
      <c r="B11" s="3" t="s">
        <v>199</v>
      </c>
      <c r="C11" s="3" t="s">
        <v>200</v>
      </c>
      <c r="D11" s="3" t="s">
        <v>201</v>
      </c>
      <c r="E11" s="3" t="s">
        <v>202</v>
      </c>
      <c r="F11" s="3" t="s">
        <v>203</v>
      </c>
      <c r="G11" s="3" t="s">
        <v>204</v>
      </c>
      <c r="H11" s="3" t="s">
        <v>79</v>
      </c>
      <c r="I11" s="3" t="s">
        <v>80</v>
      </c>
      <c r="J11" s="3" t="s">
        <v>205</v>
      </c>
      <c r="K11" s="3" t="s">
        <v>206</v>
      </c>
      <c r="L11" s="3" t="s">
        <v>101</v>
      </c>
      <c r="M11" s="3" t="s">
        <v>102</v>
      </c>
      <c r="N11" s="3" t="s">
        <v>103</v>
      </c>
      <c r="O11" s="3" t="s">
        <v>104</v>
      </c>
      <c r="P11" s="3">
        <v>2022</v>
      </c>
      <c r="Q11" s="3" t="s">
        <v>207</v>
      </c>
      <c r="R11" s="3" t="s">
        <v>170</v>
      </c>
      <c r="S11" s="3" t="s">
        <v>171</v>
      </c>
      <c r="T11" s="3" t="s">
        <v>90</v>
      </c>
      <c r="U11" s="3" t="s">
        <v>208</v>
      </c>
      <c r="V11" s="3" t="s">
        <v>209</v>
      </c>
      <c r="W11" s="3" t="s">
        <v>210</v>
      </c>
      <c r="X11" s="3" t="s">
        <v>211</v>
      </c>
      <c r="Y11" s="3" t="s">
        <v>212</v>
      </c>
      <c r="Z11" s="3" t="s">
        <v>213</v>
      </c>
      <c r="AA11" s="3" t="s">
        <v>96</v>
      </c>
      <c r="AB11" s="3">
        <v>7</v>
      </c>
      <c r="AC11" s="3">
        <f t="shared" si="0"/>
        <v>1</v>
      </c>
      <c r="AD11" s="3">
        <f t="shared" si="1"/>
        <v>1</v>
      </c>
      <c r="AG11" s="20" t="s">
        <v>214</v>
      </c>
      <c r="AH11" s="3" t="s">
        <v>98</v>
      </c>
      <c r="AI11" s="3">
        <f t="shared" si="2"/>
        <v>1</v>
      </c>
      <c r="AJ11" s="3" t="str">
        <f ca="1">IFERROR(_xludf.MINIFS($P$2:$P$175,$A$2:$A$175,$A11,$C$2:$C$175,$C11,$AC$2:$AC$175,1),"")</f>
        <v/>
      </c>
    </row>
    <row r="12" spans="1:36" x14ac:dyDescent="0.2">
      <c r="A12" s="3" t="s">
        <v>198</v>
      </c>
      <c r="B12" s="3" t="s">
        <v>199</v>
      </c>
      <c r="C12" s="3" t="s">
        <v>200</v>
      </c>
      <c r="D12" s="3" t="s">
        <v>201</v>
      </c>
      <c r="E12" s="3" t="s">
        <v>202</v>
      </c>
      <c r="F12" s="3" t="s">
        <v>203</v>
      </c>
      <c r="G12" s="3" t="s">
        <v>204</v>
      </c>
      <c r="H12" s="3" t="s">
        <v>79</v>
      </c>
      <c r="I12" s="3" t="s">
        <v>99</v>
      </c>
      <c r="J12" s="3" t="s">
        <v>215</v>
      </c>
      <c r="K12" s="3" t="s">
        <v>216</v>
      </c>
      <c r="L12" s="3" t="s">
        <v>217</v>
      </c>
      <c r="M12" s="3" t="s">
        <v>218</v>
      </c>
      <c r="N12" s="3" t="s">
        <v>85</v>
      </c>
      <c r="O12" s="3" t="s">
        <v>219</v>
      </c>
      <c r="P12" s="3">
        <v>2022</v>
      </c>
      <c r="Q12" s="3" t="s">
        <v>220</v>
      </c>
      <c r="R12" s="3" t="s">
        <v>221</v>
      </c>
      <c r="S12" s="3" t="s">
        <v>104</v>
      </c>
      <c r="T12" s="3" t="s">
        <v>90</v>
      </c>
      <c r="U12" s="3" t="s">
        <v>222</v>
      </c>
      <c r="V12" s="3" t="s">
        <v>104</v>
      </c>
      <c r="W12" s="3" t="s">
        <v>223</v>
      </c>
      <c r="X12" s="3" t="s">
        <v>224</v>
      </c>
      <c r="Y12" s="3" t="s">
        <v>225</v>
      </c>
      <c r="Z12" s="3" t="s">
        <v>226</v>
      </c>
      <c r="AA12" s="3" t="s">
        <v>96</v>
      </c>
      <c r="AB12" s="3">
        <v>7</v>
      </c>
      <c r="AC12" s="3">
        <f t="shared" si="0"/>
        <v>0</v>
      </c>
      <c r="AD12" s="3">
        <f t="shared" si="1"/>
        <v>0</v>
      </c>
      <c r="AH12" s="3" t="s">
        <v>98</v>
      </c>
      <c r="AI12" s="3">
        <f t="shared" si="2"/>
        <v>1</v>
      </c>
      <c r="AJ12" s="3" t="str">
        <f ca="1">IFERROR(_xludf.MINIFS($P$2:$P$175,$A$2:$A$175,$A12,$C$2:$C$175,$C12,$AC$2:$AC$175,1),"")</f>
        <v/>
      </c>
    </row>
    <row r="13" spans="1:36" x14ac:dyDescent="0.2">
      <c r="A13" s="3" t="s">
        <v>198</v>
      </c>
      <c r="B13" s="3" t="s">
        <v>199</v>
      </c>
      <c r="C13" s="3" t="s">
        <v>200</v>
      </c>
      <c r="D13" s="3" t="s">
        <v>201</v>
      </c>
      <c r="E13" s="3" t="s">
        <v>202</v>
      </c>
      <c r="F13" s="3" t="s">
        <v>203</v>
      </c>
      <c r="G13" s="3" t="s">
        <v>204</v>
      </c>
      <c r="H13" s="3" t="s">
        <v>79</v>
      </c>
      <c r="I13" s="3" t="s">
        <v>113</v>
      </c>
      <c r="J13" s="3" t="s">
        <v>205</v>
      </c>
      <c r="K13" s="3" t="s">
        <v>227</v>
      </c>
      <c r="L13" s="3" t="s">
        <v>101</v>
      </c>
      <c r="M13" s="3" t="s">
        <v>102</v>
      </c>
      <c r="N13" s="3" t="s">
        <v>103</v>
      </c>
      <c r="O13" s="3" t="s">
        <v>104</v>
      </c>
      <c r="P13" s="3">
        <v>2023</v>
      </c>
      <c r="Q13" s="3" t="s">
        <v>228</v>
      </c>
      <c r="R13" s="3" t="s">
        <v>170</v>
      </c>
      <c r="S13" s="3" t="s">
        <v>171</v>
      </c>
      <c r="T13" s="3" t="s">
        <v>90</v>
      </c>
      <c r="U13" s="3" t="s">
        <v>107</v>
      </c>
      <c r="V13" s="3" t="s">
        <v>229</v>
      </c>
      <c r="W13" s="3" t="s">
        <v>230</v>
      </c>
      <c r="X13" s="3" t="s">
        <v>231</v>
      </c>
      <c r="Y13" s="3" t="s">
        <v>232</v>
      </c>
      <c r="Z13" s="3" t="s">
        <v>233</v>
      </c>
      <c r="AA13" s="3" t="s">
        <v>96</v>
      </c>
      <c r="AB13" s="3">
        <v>7</v>
      </c>
      <c r="AC13" s="3">
        <f t="shared" si="0"/>
        <v>1</v>
      </c>
      <c r="AD13" s="3">
        <f t="shared" si="1"/>
        <v>1</v>
      </c>
      <c r="AH13" s="3" t="s">
        <v>98</v>
      </c>
      <c r="AI13" s="3">
        <f t="shared" si="2"/>
        <v>1</v>
      </c>
      <c r="AJ13" s="3" t="str">
        <f ca="1">IFERROR(_xludf.MINIFS($P$2:$P$175,$A$2:$A$175,$A13,$C$2:$C$175,$C13,$AC$2:$AC$175,1),"")</f>
        <v/>
      </c>
    </row>
    <row r="14" spans="1:36" x14ac:dyDescent="0.2">
      <c r="A14" s="3" t="s">
        <v>234</v>
      </c>
      <c r="B14" s="3" t="s">
        <v>235</v>
      </c>
      <c r="C14" s="3" t="s">
        <v>236</v>
      </c>
      <c r="D14" s="3" t="s">
        <v>237</v>
      </c>
      <c r="E14" s="3" t="s">
        <v>238</v>
      </c>
      <c r="F14" s="3" t="s">
        <v>203</v>
      </c>
      <c r="G14" s="3" t="s">
        <v>204</v>
      </c>
      <c r="H14" s="3" t="s">
        <v>79</v>
      </c>
      <c r="I14" s="3" t="s">
        <v>80</v>
      </c>
      <c r="J14" s="3" t="s">
        <v>239</v>
      </c>
      <c r="K14" s="3" t="s">
        <v>240</v>
      </c>
      <c r="L14" s="3" t="s">
        <v>241</v>
      </c>
      <c r="M14" s="3" t="s">
        <v>242</v>
      </c>
      <c r="N14" s="3" t="s">
        <v>85</v>
      </c>
      <c r="O14" s="3" t="s">
        <v>219</v>
      </c>
      <c r="P14" s="3">
        <v>2021</v>
      </c>
      <c r="Q14" s="3" t="s">
        <v>243</v>
      </c>
      <c r="R14" s="3" t="s">
        <v>244</v>
      </c>
      <c r="S14" s="3" t="s">
        <v>245</v>
      </c>
      <c r="T14" s="3" t="s">
        <v>90</v>
      </c>
      <c r="U14" s="3" t="s">
        <v>246</v>
      </c>
      <c r="V14" s="3" t="s">
        <v>104</v>
      </c>
      <c r="W14" s="3" t="s">
        <v>247</v>
      </c>
      <c r="X14" s="3" t="s">
        <v>248</v>
      </c>
      <c r="Y14" s="3" t="s">
        <v>249</v>
      </c>
      <c r="Z14" s="3" t="s">
        <v>250</v>
      </c>
      <c r="AA14" s="3" t="s">
        <v>96</v>
      </c>
      <c r="AB14" s="3">
        <v>8</v>
      </c>
      <c r="AC14" s="3">
        <f t="shared" si="0"/>
        <v>0</v>
      </c>
      <c r="AD14" s="3">
        <f t="shared" si="1"/>
        <v>1</v>
      </c>
      <c r="AG14" s="20" t="s">
        <v>251</v>
      </c>
      <c r="AH14" s="3" t="s">
        <v>98</v>
      </c>
      <c r="AI14" s="3">
        <f t="shared" si="2"/>
        <v>0</v>
      </c>
      <c r="AJ14" s="3" t="str">
        <f ca="1">IFERROR(_xludf.MINIFS($P$2:$P$175,$A$2:$A$175,$A14,$C$2:$C$175,$C14,$AC$2:$AC$175,1),"")</f>
        <v/>
      </c>
    </row>
    <row r="15" spans="1:36" x14ac:dyDescent="0.2">
      <c r="A15" s="3" t="s">
        <v>234</v>
      </c>
      <c r="B15" s="3" t="s">
        <v>235</v>
      </c>
      <c r="C15" s="3" t="s">
        <v>236</v>
      </c>
      <c r="D15" s="3" t="s">
        <v>237</v>
      </c>
      <c r="E15" s="3" t="s">
        <v>238</v>
      </c>
      <c r="F15" s="3" t="s">
        <v>203</v>
      </c>
      <c r="G15" s="3" t="s">
        <v>204</v>
      </c>
      <c r="H15" s="3" t="s">
        <v>79</v>
      </c>
      <c r="I15" s="3" t="s">
        <v>99</v>
      </c>
      <c r="J15" s="3" t="s">
        <v>252</v>
      </c>
      <c r="K15" s="3" t="s">
        <v>253</v>
      </c>
      <c r="L15" s="3" t="s">
        <v>253</v>
      </c>
      <c r="M15" s="3" t="s">
        <v>218</v>
      </c>
      <c r="N15" s="3" t="s">
        <v>85</v>
      </c>
      <c r="O15" s="3" t="s">
        <v>104</v>
      </c>
      <c r="P15" s="3"/>
      <c r="Q15" s="3" t="s">
        <v>253</v>
      </c>
      <c r="R15" s="3" t="s">
        <v>221</v>
      </c>
      <c r="S15" s="3" t="s">
        <v>253</v>
      </c>
      <c r="T15" s="3" t="s">
        <v>90</v>
      </c>
      <c r="U15" s="3" t="s">
        <v>222</v>
      </c>
      <c r="V15" s="3" t="s">
        <v>253</v>
      </c>
      <c r="W15" s="3" t="s">
        <v>253</v>
      </c>
      <c r="X15" s="3" t="s">
        <v>253</v>
      </c>
      <c r="Y15" s="3" t="s">
        <v>253</v>
      </c>
      <c r="Z15" s="3" t="s">
        <v>253</v>
      </c>
      <c r="AA15" s="3" t="s">
        <v>96</v>
      </c>
      <c r="AB15" s="3">
        <v>8</v>
      </c>
      <c r="AC15" s="3">
        <f t="shared" si="0"/>
        <v>0</v>
      </c>
      <c r="AD15" s="3">
        <f t="shared" si="1"/>
        <v>0</v>
      </c>
      <c r="AH15" s="3" t="s">
        <v>98</v>
      </c>
      <c r="AI15" s="3">
        <f t="shared" si="2"/>
        <v>0</v>
      </c>
      <c r="AJ15" s="3" t="str">
        <f ca="1">IFERROR(_xludf.MINIFS($P$2:$P$175,$A$2:$A$175,$A15,$C$2:$C$175,$C15,$AC$2:$AC$175,1),"")</f>
        <v/>
      </c>
    </row>
    <row r="16" spans="1:36" x14ac:dyDescent="0.2">
      <c r="A16" s="3" t="s">
        <v>234</v>
      </c>
      <c r="B16" s="3" t="s">
        <v>235</v>
      </c>
      <c r="C16" s="3" t="s">
        <v>236</v>
      </c>
      <c r="D16" s="3" t="s">
        <v>237</v>
      </c>
      <c r="E16" s="3" t="s">
        <v>238</v>
      </c>
      <c r="F16" s="3" t="s">
        <v>203</v>
      </c>
      <c r="G16" s="3" t="s">
        <v>204</v>
      </c>
      <c r="H16" s="3" t="s">
        <v>79</v>
      </c>
      <c r="I16" s="3" t="s">
        <v>113</v>
      </c>
      <c r="J16" s="3" t="s">
        <v>252</v>
      </c>
      <c r="K16" s="3" t="s">
        <v>254</v>
      </c>
      <c r="L16" s="3" t="s">
        <v>254</v>
      </c>
      <c r="M16" s="3" t="s">
        <v>218</v>
      </c>
      <c r="N16" s="3" t="s">
        <v>85</v>
      </c>
      <c r="O16" s="3" t="s">
        <v>104</v>
      </c>
      <c r="P16" s="3"/>
      <c r="Q16" s="3" t="s">
        <v>254</v>
      </c>
      <c r="R16" s="3" t="s">
        <v>221</v>
      </c>
      <c r="S16" s="3" t="s">
        <v>254</v>
      </c>
      <c r="T16" s="3" t="s">
        <v>90</v>
      </c>
      <c r="U16" s="3" t="s">
        <v>222</v>
      </c>
      <c r="V16" s="3" t="s">
        <v>254</v>
      </c>
      <c r="W16" s="3" t="s">
        <v>254</v>
      </c>
      <c r="X16" s="3" t="s">
        <v>254</v>
      </c>
      <c r="Y16" s="3" t="s">
        <v>254</v>
      </c>
      <c r="Z16" s="3" t="s">
        <v>254</v>
      </c>
      <c r="AA16" s="3" t="s">
        <v>96</v>
      </c>
      <c r="AB16" s="3">
        <v>8</v>
      </c>
      <c r="AC16" s="3">
        <f t="shared" si="0"/>
        <v>0</v>
      </c>
      <c r="AD16" s="3">
        <f t="shared" si="1"/>
        <v>0</v>
      </c>
      <c r="AH16" s="3" t="s">
        <v>98</v>
      </c>
      <c r="AI16" s="3">
        <f t="shared" si="2"/>
        <v>0</v>
      </c>
      <c r="AJ16" s="3" t="str">
        <f ca="1">IFERROR(_xludf.MINIFS($P$2:$P$175,$A$2:$A$175,$A16,$C$2:$C$175,$C16,$AC$2:$AC$175,1),"")</f>
        <v/>
      </c>
    </row>
    <row r="17" spans="1:36" x14ac:dyDescent="0.2">
      <c r="A17" s="3" t="s">
        <v>255</v>
      </c>
      <c r="B17" s="3" t="s">
        <v>256</v>
      </c>
      <c r="C17" s="3" t="s">
        <v>257</v>
      </c>
      <c r="D17" s="3" t="s">
        <v>258</v>
      </c>
      <c r="E17" s="3" t="s">
        <v>258</v>
      </c>
      <c r="F17" s="3" t="s">
        <v>77</v>
      </c>
      <c r="G17" s="3" t="s">
        <v>259</v>
      </c>
      <c r="H17" s="3" t="s">
        <v>260</v>
      </c>
      <c r="I17" s="3" t="s">
        <v>80</v>
      </c>
      <c r="J17" s="3" t="s">
        <v>81</v>
      </c>
      <c r="K17" s="3" t="s">
        <v>261</v>
      </c>
      <c r="L17" s="3" t="s">
        <v>262</v>
      </c>
      <c r="M17" s="3" t="s">
        <v>84</v>
      </c>
      <c r="N17" s="3" t="s">
        <v>85</v>
      </c>
      <c r="O17" s="3" t="s">
        <v>135</v>
      </c>
      <c r="P17" s="3">
        <v>2023</v>
      </c>
      <c r="Q17" s="3" t="s">
        <v>263</v>
      </c>
      <c r="R17" s="3" t="s">
        <v>264</v>
      </c>
      <c r="S17" s="3" t="s">
        <v>265</v>
      </c>
      <c r="T17" s="3" t="s">
        <v>90</v>
      </c>
      <c r="U17" s="3" t="s">
        <v>107</v>
      </c>
      <c r="V17" s="3" t="s">
        <v>266</v>
      </c>
      <c r="W17" s="3" t="s">
        <v>267</v>
      </c>
      <c r="X17" s="3" t="s">
        <v>268</v>
      </c>
      <c r="Y17" s="3" t="s">
        <v>269</v>
      </c>
      <c r="Z17" s="3" t="s">
        <v>270</v>
      </c>
      <c r="AA17" s="3" t="s">
        <v>96</v>
      </c>
      <c r="AB17" s="3">
        <v>9</v>
      </c>
      <c r="AC17" s="3">
        <f t="shared" si="0"/>
        <v>0</v>
      </c>
      <c r="AD17" s="3">
        <f t="shared" si="1"/>
        <v>1</v>
      </c>
      <c r="AG17" s="20" t="s">
        <v>271</v>
      </c>
      <c r="AH17" s="3" t="s">
        <v>98</v>
      </c>
      <c r="AI17" s="3">
        <f t="shared" si="2"/>
        <v>1</v>
      </c>
      <c r="AJ17" s="3" t="str">
        <f ca="1">IFERROR(_xludf.MINIFS($P$2:$P$175,$A$2:$A$175,$A17,$C$2:$C$175,$C17,$AC$2:$AC$175,1),"")</f>
        <v/>
      </c>
    </row>
    <row r="18" spans="1:36" x14ac:dyDescent="0.2">
      <c r="A18" s="3" t="s">
        <v>255</v>
      </c>
      <c r="B18" s="3" t="s">
        <v>256</v>
      </c>
      <c r="C18" s="3" t="s">
        <v>257</v>
      </c>
      <c r="D18" s="3" t="s">
        <v>258</v>
      </c>
      <c r="E18" s="3" t="s">
        <v>258</v>
      </c>
      <c r="F18" s="3" t="s">
        <v>77</v>
      </c>
      <c r="G18" s="3" t="s">
        <v>259</v>
      </c>
      <c r="H18" s="3" t="s">
        <v>260</v>
      </c>
      <c r="I18" s="3" t="s">
        <v>99</v>
      </c>
      <c r="J18" s="3" t="s">
        <v>130</v>
      </c>
      <c r="K18" s="3" t="s">
        <v>272</v>
      </c>
      <c r="L18" s="3" t="s">
        <v>273</v>
      </c>
      <c r="M18" s="3" t="s">
        <v>102</v>
      </c>
      <c r="N18" s="3" t="s">
        <v>103</v>
      </c>
      <c r="O18" s="3" t="s">
        <v>104</v>
      </c>
      <c r="P18" s="3">
        <v>2023</v>
      </c>
      <c r="Q18" s="3" t="s">
        <v>274</v>
      </c>
      <c r="R18" s="3" t="s">
        <v>88</v>
      </c>
      <c r="S18" s="3" t="s">
        <v>275</v>
      </c>
      <c r="T18" s="3" t="s">
        <v>90</v>
      </c>
      <c r="U18" s="3" t="s">
        <v>107</v>
      </c>
      <c r="V18" s="3" t="s">
        <v>276</v>
      </c>
      <c r="W18" s="3" t="s">
        <v>277</v>
      </c>
      <c r="X18" s="3" t="s">
        <v>268</v>
      </c>
      <c r="Y18" s="3" t="s">
        <v>278</v>
      </c>
      <c r="Z18" s="3" t="s">
        <v>279</v>
      </c>
      <c r="AA18" s="3" t="s">
        <v>96</v>
      </c>
      <c r="AB18" s="3">
        <v>9</v>
      </c>
      <c r="AC18" s="3">
        <f t="shared" si="0"/>
        <v>1</v>
      </c>
      <c r="AD18" s="3">
        <f t="shared" si="1"/>
        <v>1</v>
      </c>
      <c r="AH18" s="3" t="s">
        <v>98</v>
      </c>
      <c r="AI18" s="3">
        <f t="shared" si="2"/>
        <v>1</v>
      </c>
      <c r="AJ18" s="3" t="str">
        <f ca="1">IFERROR(_xludf.MINIFS($P$2:$P$175,$A$2:$A$175,$A18,$C$2:$C$175,$C18,$AC$2:$AC$175,1),"")</f>
        <v/>
      </c>
    </row>
    <row r="19" spans="1:36" x14ac:dyDescent="0.2">
      <c r="A19" s="3" t="s">
        <v>255</v>
      </c>
      <c r="B19" s="3" t="s">
        <v>256</v>
      </c>
      <c r="C19" s="3" t="s">
        <v>257</v>
      </c>
      <c r="D19" s="3" t="s">
        <v>258</v>
      </c>
      <c r="E19" s="3" t="s">
        <v>258</v>
      </c>
      <c r="F19" s="3" t="s">
        <v>77</v>
      </c>
      <c r="G19" s="3" t="s">
        <v>259</v>
      </c>
      <c r="H19" s="3" t="s">
        <v>260</v>
      </c>
      <c r="I19" s="3" t="s">
        <v>113</v>
      </c>
      <c r="J19" s="3" t="s">
        <v>130</v>
      </c>
      <c r="K19" s="3" t="s">
        <v>280</v>
      </c>
      <c r="L19" s="3" t="s">
        <v>281</v>
      </c>
      <c r="M19" s="3" t="s">
        <v>102</v>
      </c>
      <c r="N19" s="3" t="s">
        <v>103</v>
      </c>
      <c r="O19" s="3" t="s">
        <v>104</v>
      </c>
      <c r="P19" s="3">
        <v>2026</v>
      </c>
      <c r="Q19" s="3" t="s">
        <v>282</v>
      </c>
      <c r="R19" s="3" t="s">
        <v>88</v>
      </c>
      <c r="S19" s="3" t="s">
        <v>283</v>
      </c>
      <c r="T19" s="3" t="s">
        <v>90</v>
      </c>
      <c r="U19" s="3" t="s">
        <v>107</v>
      </c>
      <c r="V19" s="3" t="s">
        <v>284</v>
      </c>
      <c r="W19" s="3" t="s">
        <v>285</v>
      </c>
      <c r="X19" s="3" t="s">
        <v>286</v>
      </c>
      <c r="Y19" s="3" t="s">
        <v>287</v>
      </c>
      <c r="Z19" s="3" t="s">
        <v>288</v>
      </c>
      <c r="AA19" s="3" t="s">
        <v>96</v>
      </c>
      <c r="AB19" s="3">
        <v>9</v>
      </c>
      <c r="AC19" s="3">
        <f t="shared" si="0"/>
        <v>1</v>
      </c>
      <c r="AD19" s="3">
        <f t="shared" si="1"/>
        <v>1</v>
      </c>
      <c r="AH19" s="3" t="s">
        <v>98</v>
      </c>
      <c r="AI19" s="3">
        <f t="shared" si="2"/>
        <v>1</v>
      </c>
      <c r="AJ19" s="3" t="str">
        <f ca="1">IFERROR(_xludf.MINIFS($P$2:$P$175,$A$2:$A$175,$A19,$C$2:$C$175,$C19,$AC$2:$AC$175,1),"")</f>
        <v/>
      </c>
    </row>
    <row r="20" spans="1:36" x14ac:dyDescent="0.2">
      <c r="A20" s="3" t="s">
        <v>289</v>
      </c>
      <c r="B20" s="3" t="s">
        <v>290</v>
      </c>
      <c r="C20" s="3" t="s">
        <v>291</v>
      </c>
      <c r="D20" s="3" t="s">
        <v>292</v>
      </c>
      <c r="E20" s="3" t="s">
        <v>293</v>
      </c>
      <c r="F20" s="3" t="s">
        <v>77</v>
      </c>
      <c r="G20" s="3" t="s">
        <v>259</v>
      </c>
      <c r="H20" s="3" t="s">
        <v>260</v>
      </c>
      <c r="I20" s="3" t="s">
        <v>80</v>
      </c>
      <c r="J20" s="3" t="s">
        <v>81</v>
      </c>
      <c r="K20" s="3" t="s">
        <v>294</v>
      </c>
      <c r="L20" s="3" t="s">
        <v>295</v>
      </c>
      <c r="M20" s="3" t="s">
        <v>84</v>
      </c>
      <c r="N20" s="3" t="s">
        <v>85</v>
      </c>
      <c r="O20" s="3" t="s">
        <v>219</v>
      </c>
      <c r="P20" s="3">
        <v>2024</v>
      </c>
      <c r="Q20" s="3" t="s">
        <v>296</v>
      </c>
      <c r="R20" s="3" t="s">
        <v>88</v>
      </c>
      <c r="S20" s="3" t="s">
        <v>297</v>
      </c>
      <c r="T20" s="3" t="s">
        <v>90</v>
      </c>
      <c r="U20" s="3" t="s">
        <v>86</v>
      </c>
      <c r="V20" s="3" t="s">
        <v>298</v>
      </c>
      <c r="W20" s="3" t="s">
        <v>299</v>
      </c>
      <c r="X20" s="3" t="s">
        <v>300</v>
      </c>
      <c r="Y20" s="3" t="s">
        <v>301</v>
      </c>
      <c r="Z20" s="3" t="s">
        <v>302</v>
      </c>
      <c r="AA20" s="3" t="s">
        <v>96</v>
      </c>
      <c r="AB20" s="3">
        <v>10</v>
      </c>
      <c r="AC20" s="3">
        <f t="shared" si="0"/>
        <v>0</v>
      </c>
      <c r="AD20" s="3">
        <f t="shared" si="1"/>
        <v>1</v>
      </c>
      <c r="AG20" s="20" t="s">
        <v>303</v>
      </c>
      <c r="AH20" s="3" t="s">
        <v>98</v>
      </c>
      <c r="AI20" s="3">
        <f t="shared" si="2"/>
        <v>0</v>
      </c>
      <c r="AJ20" s="3" t="str">
        <f ca="1">IFERROR(_xludf.MINIFS($P$2:$P$175,$A$2:$A$175,$A20,$C$2:$C$175,$C20,$AC$2:$AC$175,1),"")</f>
        <v/>
      </c>
    </row>
    <row r="21" spans="1:36" x14ac:dyDescent="0.2">
      <c r="A21" s="3" t="s">
        <v>289</v>
      </c>
      <c r="B21" s="3" t="s">
        <v>290</v>
      </c>
      <c r="C21" s="3" t="s">
        <v>291</v>
      </c>
      <c r="D21" s="3" t="s">
        <v>292</v>
      </c>
      <c r="E21" s="3" t="s">
        <v>293</v>
      </c>
      <c r="F21" s="3" t="s">
        <v>77</v>
      </c>
      <c r="G21" s="3" t="s">
        <v>259</v>
      </c>
      <c r="H21" s="3" t="s">
        <v>260</v>
      </c>
      <c r="I21" s="3" t="s">
        <v>99</v>
      </c>
      <c r="J21" s="3" t="s">
        <v>252</v>
      </c>
      <c r="K21" s="3" t="s">
        <v>253</v>
      </c>
      <c r="L21" s="3" t="s">
        <v>253</v>
      </c>
      <c r="M21" s="3" t="s">
        <v>218</v>
      </c>
      <c r="N21" s="3" t="s">
        <v>85</v>
      </c>
      <c r="O21" s="3" t="s">
        <v>104</v>
      </c>
      <c r="P21" s="3"/>
      <c r="Q21" s="3" t="s">
        <v>253</v>
      </c>
      <c r="R21" s="3" t="s">
        <v>221</v>
      </c>
      <c r="S21" s="3" t="s">
        <v>253</v>
      </c>
      <c r="T21" s="3" t="s">
        <v>90</v>
      </c>
      <c r="U21" s="3" t="s">
        <v>222</v>
      </c>
      <c r="V21" s="3" t="s">
        <v>253</v>
      </c>
      <c r="W21" s="3" t="s">
        <v>253</v>
      </c>
      <c r="X21" s="3" t="s">
        <v>253</v>
      </c>
      <c r="Y21" s="3" t="s">
        <v>253</v>
      </c>
      <c r="Z21" s="3" t="s">
        <v>253</v>
      </c>
      <c r="AA21" s="3" t="s">
        <v>96</v>
      </c>
      <c r="AB21" s="3">
        <v>10</v>
      </c>
      <c r="AC21" s="3">
        <f t="shared" si="0"/>
        <v>0</v>
      </c>
      <c r="AD21" s="3">
        <f t="shared" si="1"/>
        <v>0</v>
      </c>
      <c r="AH21" s="3" t="s">
        <v>98</v>
      </c>
      <c r="AI21" s="3">
        <f t="shared" si="2"/>
        <v>0</v>
      </c>
      <c r="AJ21" s="3" t="str">
        <f ca="1">IFERROR(_xludf.MINIFS($P$2:$P$175,$A$2:$A$175,$A21,$C$2:$C$175,$C21,$AC$2:$AC$175,1),"")</f>
        <v/>
      </c>
    </row>
    <row r="22" spans="1:36" x14ac:dyDescent="0.2">
      <c r="A22" s="3" t="s">
        <v>289</v>
      </c>
      <c r="B22" s="3" t="s">
        <v>290</v>
      </c>
      <c r="C22" s="3" t="s">
        <v>291</v>
      </c>
      <c r="D22" s="3" t="s">
        <v>292</v>
      </c>
      <c r="E22" s="3" t="s">
        <v>293</v>
      </c>
      <c r="F22" s="3" t="s">
        <v>77</v>
      </c>
      <c r="G22" s="3" t="s">
        <v>259</v>
      </c>
      <c r="H22" s="3" t="s">
        <v>260</v>
      </c>
      <c r="I22" s="3" t="s">
        <v>113</v>
      </c>
      <c r="J22" s="3" t="s">
        <v>114</v>
      </c>
      <c r="K22" s="3" t="s">
        <v>304</v>
      </c>
      <c r="L22" s="3" t="s">
        <v>305</v>
      </c>
      <c r="M22" s="3" t="s">
        <v>242</v>
      </c>
      <c r="N22" s="3" t="s">
        <v>85</v>
      </c>
      <c r="O22" s="3" t="s">
        <v>219</v>
      </c>
      <c r="P22" s="3">
        <v>2025</v>
      </c>
      <c r="Q22" s="3" t="s">
        <v>306</v>
      </c>
      <c r="R22" s="3" t="s">
        <v>88</v>
      </c>
      <c r="S22" s="3" t="s">
        <v>307</v>
      </c>
      <c r="T22" s="3" t="s">
        <v>90</v>
      </c>
      <c r="U22" s="3" t="s">
        <v>246</v>
      </c>
      <c r="V22" s="3" t="s">
        <v>308</v>
      </c>
      <c r="W22" s="3" t="s">
        <v>309</v>
      </c>
      <c r="X22" s="3"/>
      <c r="Y22" s="3" t="s">
        <v>310</v>
      </c>
      <c r="Z22" s="3" t="s">
        <v>311</v>
      </c>
      <c r="AA22" s="3" t="s">
        <v>96</v>
      </c>
      <c r="AB22" s="3">
        <v>10</v>
      </c>
      <c r="AC22" s="3">
        <f t="shared" si="0"/>
        <v>0</v>
      </c>
      <c r="AD22" s="3">
        <f t="shared" si="1"/>
        <v>1</v>
      </c>
      <c r="AH22" s="3" t="s">
        <v>98</v>
      </c>
      <c r="AI22" s="3">
        <f t="shared" si="2"/>
        <v>0</v>
      </c>
      <c r="AJ22" s="3" t="str">
        <f ca="1">IFERROR(_xludf.MINIFS($P$2:$P$175,$A$2:$A$175,$A22,$C$2:$C$175,$C22,$AC$2:$AC$175,1),"")</f>
        <v/>
      </c>
    </row>
    <row r="23" spans="1:36" x14ac:dyDescent="0.2">
      <c r="A23" s="3" t="s">
        <v>312</v>
      </c>
      <c r="B23" s="3" t="s">
        <v>313</v>
      </c>
      <c r="C23" s="3" t="s">
        <v>291</v>
      </c>
      <c r="D23" s="3" t="s">
        <v>127</v>
      </c>
      <c r="E23" s="3" t="s">
        <v>128</v>
      </c>
      <c r="F23" s="3" t="s">
        <v>314</v>
      </c>
      <c r="G23" s="3" t="s">
        <v>259</v>
      </c>
      <c r="H23" s="3" t="s">
        <v>260</v>
      </c>
      <c r="I23" s="3" t="s">
        <v>80</v>
      </c>
      <c r="J23" s="3" t="s">
        <v>130</v>
      </c>
      <c r="K23" s="3" t="s">
        <v>315</v>
      </c>
      <c r="L23" s="3" t="s">
        <v>316</v>
      </c>
      <c r="M23" s="3" t="s">
        <v>102</v>
      </c>
      <c r="N23" s="3" t="s">
        <v>103</v>
      </c>
      <c r="O23" s="3" t="s">
        <v>104</v>
      </c>
      <c r="P23" s="3">
        <v>2022</v>
      </c>
      <c r="Q23" s="3" t="s">
        <v>220</v>
      </c>
      <c r="R23" s="3" t="s">
        <v>170</v>
      </c>
      <c r="S23" s="3" t="s">
        <v>317</v>
      </c>
      <c r="T23" s="3" t="s">
        <v>90</v>
      </c>
      <c r="U23" s="3" t="s">
        <v>107</v>
      </c>
      <c r="V23" s="3" t="s">
        <v>318</v>
      </c>
      <c r="W23" s="3" t="s">
        <v>319</v>
      </c>
      <c r="X23" s="3" t="s">
        <v>320</v>
      </c>
      <c r="Y23" s="3" t="s">
        <v>321</v>
      </c>
      <c r="Z23" s="3" t="s">
        <v>322</v>
      </c>
      <c r="AA23" s="3" t="s">
        <v>96</v>
      </c>
      <c r="AB23" s="3">
        <v>11</v>
      </c>
      <c r="AC23" s="3">
        <f t="shared" si="0"/>
        <v>1</v>
      </c>
      <c r="AD23" s="3">
        <f t="shared" si="1"/>
        <v>1</v>
      </c>
      <c r="AG23" s="20" t="s">
        <v>323</v>
      </c>
      <c r="AH23" s="3" t="s">
        <v>324</v>
      </c>
      <c r="AI23" s="3">
        <f t="shared" si="2"/>
        <v>1</v>
      </c>
      <c r="AJ23" s="3" t="str">
        <f ca="1">IFERROR(_xludf.MINIFS($P$2:$P$175,$A$2:$A$175,$A23,$C$2:$C$175,$C23,$AC$2:$AC$175,1),"")</f>
        <v/>
      </c>
    </row>
    <row r="24" spans="1:36" x14ac:dyDescent="0.2">
      <c r="A24" s="3" t="s">
        <v>312</v>
      </c>
      <c r="B24" s="3" t="s">
        <v>313</v>
      </c>
      <c r="C24" s="3" t="s">
        <v>291</v>
      </c>
      <c r="D24" s="3" t="s">
        <v>127</v>
      </c>
      <c r="E24" s="3" t="s">
        <v>128</v>
      </c>
      <c r="F24" s="3" t="s">
        <v>314</v>
      </c>
      <c r="G24" s="3" t="s">
        <v>259</v>
      </c>
      <c r="H24" s="3" t="s">
        <v>260</v>
      </c>
      <c r="I24" s="3" t="s">
        <v>99</v>
      </c>
      <c r="J24" s="3" t="s">
        <v>215</v>
      </c>
      <c r="K24" s="3" t="s">
        <v>325</v>
      </c>
      <c r="L24" s="3" t="s">
        <v>326</v>
      </c>
      <c r="M24" s="3" t="s">
        <v>102</v>
      </c>
      <c r="N24" s="3" t="s">
        <v>103</v>
      </c>
      <c r="O24" s="3" t="s">
        <v>104</v>
      </c>
      <c r="P24" s="3">
        <v>2026</v>
      </c>
      <c r="Q24" s="3" t="s">
        <v>327</v>
      </c>
      <c r="R24" s="3" t="s">
        <v>88</v>
      </c>
      <c r="S24" s="3" t="s">
        <v>328</v>
      </c>
      <c r="T24" s="3" t="s">
        <v>90</v>
      </c>
      <c r="U24" s="3" t="s">
        <v>329</v>
      </c>
      <c r="V24" s="3" t="s">
        <v>330</v>
      </c>
      <c r="W24" s="3" t="s">
        <v>331</v>
      </c>
      <c r="X24" s="3" t="s">
        <v>332</v>
      </c>
      <c r="Y24" s="3" t="s">
        <v>333</v>
      </c>
      <c r="Z24" s="3" t="s">
        <v>334</v>
      </c>
      <c r="AA24" s="3" t="s">
        <v>96</v>
      </c>
      <c r="AB24" s="3">
        <v>11</v>
      </c>
      <c r="AC24" s="3">
        <f t="shared" si="0"/>
        <v>1</v>
      </c>
      <c r="AD24" s="3">
        <f t="shared" si="1"/>
        <v>1</v>
      </c>
      <c r="AH24" s="3" t="s">
        <v>324</v>
      </c>
      <c r="AI24" s="3">
        <f t="shared" si="2"/>
        <v>1</v>
      </c>
      <c r="AJ24" s="3" t="str">
        <f ca="1">IFERROR(_xludf.MINIFS($P$2:$P$175,$A$2:$A$175,$A24,$C$2:$C$175,$C24,$AC$2:$AC$175,1),"")</f>
        <v/>
      </c>
    </row>
    <row r="25" spans="1:36" x14ac:dyDescent="0.2">
      <c r="A25" s="3" t="s">
        <v>312</v>
      </c>
      <c r="B25" s="3" t="s">
        <v>313</v>
      </c>
      <c r="C25" s="3" t="s">
        <v>291</v>
      </c>
      <c r="D25" s="3" t="s">
        <v>127</v>
      </c>
      <c r="E25" s="3" t="s">
        <v>128</v>
      </c>
      <c r="F25" s="3" t="s">
        <v>314</v>
      </c>
      <c r="G25" s="3" t="s">
        <v>259</v>
      </c>
      <c r="H25" s="3" t="s">
        <v>260</v>
      </c>
      <c r="I25" s="3" t="s">
        <v>113</v>
      </c>
      <c r="J25" s="3" t="s">
        <v>114</v>
      </c>
      <c r="K25" s="3" t="s">
        <v>335</v>
      </c>
      <c r="L25" s="3" t="s">
        <v>101</v>
      </c>
      <c r="M25" s="3" t="s">
        <v>102</v>
      </c>
      <c r="N25" s="3" t="s">
        <v>103</v>
      </c>
      <c r="O25" s="3" t="s">
        <v>104</v>
      </c>
      <c r="P25" s="3">
        <v>2018</v>
      </c>
      <c r="Q25" s="3" t="s">
        <v>336</v>
      </c>
      <c r="R25" s="3" t="s">
        <v>88</v>
      </c>
      <c r="S25" s="3" t="s">
        <v>337</v>
      </c>
      <c r="T25" s="3" t="s">
        <v>90</v>
      </c>
      <c r="U25" s="3" t="s">
        <v>222</v>
      </c>
      <c r="V25" s="3" t="s">
        <v>338</v>
      </c>
      <c r="W25" s="3" t="s">
        <v>339</v>
      </c>
      <c r="X25" s="3" t="s">
        <v>340</v>
      </c>
      <c r="Y25" s="3" t="s">
        <v>341</v>
      </c>
      <c r="Z25" s="3" t="s">
        <v>342</v>
      </c>
      <c r="AA25" s="3" t="s">
        <v>96</v>
      </c>
      <c r="AB25" s="3">
        <v>11</v>
      </c>
      <c r="AC25" s="3">
        <f t="shared" si="0"/>
        <v>1</v>
      </c>
      <c r="AD25" s="3">
        <f t="shared" si="1"/>
        <v>1</v>
      </c>
      <c r="AH25" s="3" t="s">
        <v>324</v>
      </c>
      <c r="AI25" s="3">
        <f t="shared" si="2"/>
        <v>1</v>
      </c>
      <c r="AJ25" s="3" t="str">
        <f ca="1">IFERROR(_xludf.MINIFS($P$2:$P$175,$A$2:$A$175,$A25,$C$2:$C$175,$C25,$AC$2:$AC$175,1),"")</f>
        <v/>
      </c>
    </row>
    <row r="26" spans="1:36" x14ac:dyDescent="0.2">
      <c r="A26" s="3" t="s">
        <v>343</v>
      </c>
      <c r="B26" s="3" t="s">
        <v>344</v>
      </c>
      <c r="C26" s="3" t="s">
        <v>257</v>
      </c>
      <c r="D26" s="3" t="s">
        <v>345</v>
      </c>
      <c r="E26" s="3" t="s">
        <v>345</v>
      </c>
      <c r="F26" s="3" t="s">
        <v>77</v>
      </c>
      <c r="G26" s="3" t="s">
        <v>259</v>
      </c>
      <c r="H26" s="3" t="s">
        <v>260</v>
      </c>
      <c r="I26" s="3" t="s">
        <v>80</v>
      </c>
      <c r="J26" s="3" t="s">
        <v>252</v>
      </c>
      <c r="K26" s="3" t="s">
        <v>346</v>
      </c>
      <c r="L26" s="3" t="s">
        <v>346</v>
      </c>
      <c r="M26" s="3" t="s">
        <v>242</v>
      </c>
      <c r="N26" s="3" t="s">
        <v>85</v>
      </c>
      <c r="O26" s="3" t="s">
        <v>219</v>
      </c>
      <c r="P26" s="3"/>
      <c r="Q26" s="3" t="s">
        <v>346</v>
      </c>
      <c r="R26" s="3" t="s">
        <v>221</v>
      </c>
      <c r="S26" s="3" t="s">
        <v>346</v>
      </c>
      <c r="T26" s="3" t="s">
        <v>90</v>
      </c>
      <c r="U26" s="3" t="s">
        <v>347</v>
      </c>
      <c r="V26" s="3" t="s">
        <v>346</v>
      </c>
      <c r="W26" s="3" t="s">
        <v>346</v>
      </c>
      <c r="X26" s="3" t="s">
        <v>346</v>
      </c>
      <c r="Y26" s="3" t="s">
        <v>346</v>
      </c>
      <c r="Z26" s="3" t="s">
        <v>346</v>
      </c>
      <c r="AA26" s="3" t="s">
        <v>96</v>
      </c>
      <c r="AB26" s="3">
        <v>12</v>
      </c>
      <c r="AC26" s="3">
        <f t="shared" si="0"/>
        <v>0</v>
      </c>
      <c r="AD26" s="3">
        <f t="shared" si="1"/>
        <v>1</v>
      </c>
      <c r="AG26" s="20" t="s">
        <v>348</v>
      </c>
      <c r="AH26" s="3" t="s">
        <v>98</v>
      </c>
      <c r="AI26" s="3">
        <f t="shared" si="2"/>
        <v>0</v>
      </c>
      <c r="AJ26" s="3" t="str">
        <f ca="1">IFERROR(_xludf.MINIFS($P$2:$P$175,$A$2:$A$175,$A26,$C$2:$C$175,$C26,$AC$2:$AC$175,1),"")</f>
        <v/>
      </c>
    </row>
    <row r="27" spans="1:36" x14ac:dyDescent="0.2">
      <c r="A27" s="3" t="s">
        <v>343</v>
      </c>
      <c r="B27" s="3" t="s">
        <v>344</v>
      </c>
      <c r="C27" s="3" t="s">
        <v>257</v>
      </c>
      <c r="D27" s="3" t="s">
        <v>345</v>
      </c>
      <c r="E27" s="3" t="s">
        <v>345</v>
      </c>
      <c r="F27" s="3" t="s">
        <v>77</v>
      </c>
      <c r="G27" s="3" t="s">
        <v>259</v>
      </c>
      <c r="H27" s="3" t="s">
        <v>260</v>
      </c>
      <c r="I27" s="3" t="s">
        <v>99</v>
      </c>
      <c r="J27" s="3" t="s">
        <v>81</v>
      </c>
      <c r="K27" s="3" t="s">
        <v>349</v>
      </c>
      <c r="L27" s="3" t="s">
        <v>242</v>
      </c>
      <c r="M27" s="3" t="s">
        <v>242</v>
      </c>
      <c r="N27" s="3" t="s">
        <v>85</v>
      </c>
      <c r="O27" s="3" t="s">
        <v>219</v>
      </c>
      <c r="P27" s="3">
        <v>2023</v>
      </c>
      <c r="Q27" s="3" t="s">
        <v>350</v>
      </c>
      <c r="R27" s="3" t="s">
        <v>88</v>
      </c>
      <c r="S27" s="3" t="s">
        <v>351</v>
      </c>
      <c r="T27" s="3" t="s">
        <v>90</v>
      </c>
      <c r="U27" s="3" t="s">
        <v>352</v>
      </c>
      <c r="V27" s="3" t="s">
        <v>104</v>
      </c>
      <c r="W27" s="3" t="s">
        <v>353</v>
      </c>
      <c r="X27" s="3" t="s">
        <v>354</v>
      </c>
      <c r="Y27" s="3" t="s">
        <v>355</v>
      </c>
      <c r="Z27" s="3" t="s">
        <v>356</v>
      </c>
      <c r="AA27" s="3" t="s">
        <v>96</v>
      </c>
      <c r="AB27" s="3">
        <v>12</v>
      </c>
      <c r="AC27" s="3">
        <f t="shared" si="0"/>
        <v>0</v>
      </c>
      <c r="AD27" s="3">
        <f t="shared" si="1"/>
        <v>1</v>
      </c>
      <c r="AH27" s="3" t="s">
        <v>98</v>
      </c>
      <c r="AI27" s="3">
        <f t="shared" si="2"/>
        <v>0</v>
      </c>
      <c r="AJ27" s="3" t="str">
        <f ca="1">IFERROR(_xludf.MINIFS($P$2:$P$175,$A$2:$A$175,$A27,$C$2:$C$175,$C27,$AC$2:$AC$175,1),"")</f>
        <v/>
      </c>
    </row>
    <row r="28" spans="1:36" x14ac:dyDescent="0.2">
      <c r="A28" s="3" t="s">
        <v>343</v>
      </c>
      <c r="B28" s="3" t="s">
        <v>344</v>
      </c>
      <c r="C28" s="3" t="s">
        <v>257</v>
      </c>
      <c r="D28" s="3" t="s">
        <v>345</v>
      </c>
      <c r="E28" s="3" t="s">
        <v>345</v>
      </c>
      <c r="F28" s="3" t="s">
        <v>77</v>
      </c>
      <c r="G28" s="3" t="s">
        <v>259</v>
      </c>
      <c r="H28" s="3" t="s">
        <v>260</v>
      </c>
      <c r="I28" s="3" t="s">
        <v>113</v>
      </c>
      <c r="J28" s="3" t="s">
        <v>215</v>
      </c>
      <c r="K28" s="3" t="s">
        <v>357</v>
      </c>
      <c r="L28" s="3" t="s">
        <v>357</v>
      </c>
      <c r="M28" s="3" t="s">
        <v>242</v>
      </c>
      <c r="N28" s="3" t="s">
        <v>85</v>
      </c>
      <c r="O28" s="3" t="s">
        <v>219</v>
      </c>
      <c r="P28" s="3"/>
      <c r="Q28" s="3" t="s">
        <v>357</v>
      </c>
      <c r="R28" s="3" t="s">
        <v>264</v>
      </c>
      <c r="S28" s="3" t="s">
        <v>357</v>
      </c>
      <c r="T28" s="3" t="s">
        <v>90</v>
      </c>
      <c r="U28" s="3" t="s">
        <v>222</v>
      </c>
      <c r="V28" s="3" t="s">
        <v>357</v>
      </c>
      <c r="W28" s="3" t="s">
        <v>357</v>
      </c>
      <c r="X28" s="3" t="s">
        <v>357</v>
      </c>
      <c r="Y28" s="3" t="s">
        <v>357</v>
      </c>
      <c r="Z28" s="3" t="s">
        <v>357</v>
      </c>
      <c r="AA28" s="3" t="s">
        <v>96</v>
      </c>
      <c r="AB28" s="3">
        <v>12</v>
      </c>
      <c r="AC28" s="3">
        <f t="shared" si="0"/>
        <v>0</v>
      </c>
      <c r="AD28" s="3">
        <f t="shared" si="1"/>
        <v>1</v>
      </c>
      <c r="AH28" s="3" t="s">
        <v>98</v>
      </c>
      <c r="AI28" s="3">
        <f t="shared" si="2"/>
        <v>0</v>
      </c>
      <c r="AJ28" s="3" t="str">
        <f ca="1">IFERROR(_xludf.MINIFS($P$2:$P$175,$A$2:$A$175,$A28,$C$2:$C$175,$C28,$AC$2:$AC$175,1),"")</f>
        <v/>
      </c>
    </row>
    <row r="29" spans="1:36" x14ac:dyDescent="0.2">
      <c r="A29" s="3" t="s">
        <v>358</v>
      </c>
      <c r="B29" s="3" t="s">
        <v>359</v>
      </c>
      <c r="C29" s="3" t="s">
        <v>360</v>
      </c>
      <c r="D29" s="3" t="s">
        <v>345</v>
      </c>
      <c r="E29" s="3" t="s">
        <v>345</v>
      </c>
      <c r="F29" s="3" t="s">
        <v>324</v>
      </c>
      <c r="G29" s="3" t="s">
        <v>259</v>
      </c>
      <c r="H29" s="3" t="s">
        <v>260</v>
      </c>
      <c r="I29" s="3" t="s">
        <v>80</v>
      </c>
      <c r="J29" s="3" t="s">
        <v>239</v>
      </c>
      <c r="K29" s="3" t="s">
        <v>361</v>
      </c>
      <c r="L29" s="3" t="s">
        <v>362</v>
      </c>
      <c r="M29" s="3" t="s">
        <v>363</v>
      </c>
      <c r="N29" s="3" t="s">
        <v>85</v>
      </c>
      <c r="O29" s="3" t="s">
        <v>104</v>
      </c>
      <c r="P29" s="3"/>
      <c r="Q29" s="3" t="s">
        <v>104</v>
      </c>
      <c r="R29" s="3" t="s">
        <v>88</v>
      </c>
      <c r="S29" s="3" t="s">
        <v>364</v>
      </c>
      <c r="T29" s="3" t="s">
        <v>90</v>
      </c>
      <c r="U29" s="3" t="s">
        <v>365</v>
      </c>
      <c r="V29" s="3" t="s">
        <v>104</v>
      </c>
      <c r="W29" s="3" t="s">
        <v>366</v>
      </c>
      <c r="X29" s="3" t="s">
        <v>104</v>
      </c>
      <c r="Y29" s="3" t="s">
        <v>367</v>
      </c>
      <c r="Z29" s="3" t="s">
        <v>368</v>
      </c>
      <c r="AA29" s="3" t="s">
        <v>96</v>
      </c>
      <c r="AB29" s="3">
        <v>13</v>
      </c>
      <c r="AC29" s="3">
        <f t="shared" si="0"/>
        <v>0</v>
      </c>
      <c r="AD29" s="3">
        <f t="shared" si="1"/>
        <v>1</v>
      </c>
      <c r="AG29" s="20" t="s">
        <v>369</v>
      </c>
      <c r="AH29" s="3" t="s">
        <v>324</v>
      </c>
      <c r="AI29" s="3">
        <f t="shared" si="2"/>
        <v>1</v>
      </c>
      <c r="AJ29" s="3" t="str">
        <f ca="1">IFERROR(_xludf.MINIFS($P$2:$P$175,$A$2:$A$175,$A29,$C$2:$C$175,$C29,$AC$2:$AC$175,1),"")</f>
        <v/>
      </c>
    </row>
    <row r="30" spans="1:36" x14ac:dyDescent="0.2">
      <c r="A30" s="3" t="s">
        <v>358</v>
      </c>
      <c r="B30" s="3" t="s">
        <v>359</v>
      </c>
      <c r="C30" s="3" t="s">
        <v>360</v>
      </c>
      <c r="D30" s="3" t="s">
        <v>345</v>
      </c>
      <c r="E30" s="3" t="s">
        <v>345</v>
      </c>
      <c r="F30" s="3" t="s">
        <v>324</v>
      </c>
      <c r="G30" s="3" t="s">
        <v>259</v>
      </c>
      <c r="H30" s="3" t="s">
        <v>260</v>
      </c>
      <c r="I30" s="3" t="s">
        <v>99</v>
      </c>
      <c r="J30" s="3" t="s">
        <v>215</v>
      </c>
      <c r="K30" s="3" t="s">
        <v>370</v>
      </c>
      <c r="L30" s="3" t="s">
        <v>371</v>
      </c>
      <c r="M30" s="3" t="s">
        <v>102</v>
      </c>
      <c r="N30" s="3" t="s">
        <v>103</v>
      </c>
      <c r="O30" s="3" t="s">
        <v>104</v>
      </c>
      <c r="P30" s="3">
        <v>2025</v>
      </c>
      <c r="Q30" s="3" t="s">
        <v>372</v>
      </c>
      <c r="R30" s="3" t="s">
        <v>88</v>
      </c>
      <c r="S30" s="3" t="s">
        <v>373</v>
      </c>
      <c r="T30" s="3" t="s">
        <v>90</v>
      </c>
      <c r="U30" s="3" t="s">
        <v>365</v>
      </c>
      <c r="V30" s="3" t="s">
        <v>374</v>
      </c>
      <c r="W30" s="3" t="s">
        <v>375</v>
      </c>
      <c r="X30" s="3" t="s">
        <v>376</v>
      </c>
      <c r="Y30" s="3" t="s">
        <v>377</v>
      </c>
      <c r="Z30" s="3" t="s">
        <v>378</v>
      </c>
      <c r="AA30" s="3" t="s">
        <v>96</v>
      </c>
      <c r="AB30" s="3">
        <v>13</v>
      </c>
      <c r="AC30" s="3">
        <f t="shared" si="0"/>
        <v>1</v>
      </c>
      <c r="AD30" s="3">
        <f t="shared" si="1"/>
        <v>1</v>
      </c>
      <c r="AH30" s="3" t="s">
        <v>324</v>
      </c>
      <c r="AI30" s="3">
        <f t="shared" si="2"/>
        <v>1</v>
      </c>
      <c r="AJ30" s="3" t="str">
        <f ca="1">IFERROR(_xludf.MINIFS($P$2:$P$175,$A$2:$A$175,$A30,$C$2:$C$175,$C30,$AC$2:$AC$175,1),"")</f>
        <v/>
      </c>
    </row>
    <row r="31" spans="1:36" x14ac:dyDescent="0.2">
      <c r="A31" s="3" t="s">
        <v>358</v>
      </c>
      <c r="B31" s="3" t="s">
        <v>359</v>
      </c>
      <c r="C31" s="3" t="s">
        <v>360</v>
      </c>
      <c r="D31" s="3" t="s">
        <v>345</v>
      </c>
      <c r="E31" s="3" t="s">
        <v>345</v>
      </c>
      <c r="F31" s="3" t="s">
        <v>324</v>
      </c>
      <c r="G31" s="3" t="s">
        <v>259</v>
      </c>
      <c r="H31" s="3" t="s">
        <v>260</v>
      </c>
      <c r="I31" s="3" t="s">
        <v>113</v>
      </c>
      <c r="J31" s="3" t="s">
        <v>81</v>
      </c>
      <c r="K31" s="3" t="s">
        <v>379</v>
      </c>
      <c r="L31" s="3" t="s">
        <v>380</v>
      </c>
      <c r="M31" s="3" t="s">
        <v>363</v>
      </c>
      <c r="N31" s="3" t="s">
        <v>85</v>
      </c>
      <c r="O31" s="3" t="s">
        <v>104</v>
      </c>
      <c r="P31" s="3">
        <v>2026</v>
      </c>
      <c r="Q31" s="3" t="s">
        <v>381</v>
      </c>
      <c r="R31" s="3" t="s">
        <v>88</v>
      </c>
      <c r="S31" s="3" t="s">
        <v>382</v>
      </c>
      <c r="T31" s="3" t="s">
        <v>90</v>
      </c>
      <c r="U31" s="3" t="s">
        <v>222</v>
      </c>
      <c r="V31" s="3" t="s">
        <v>383</v>
      </c>
      <c r="W31" s="3" t="s">
        <v>384</v>
      </c>
      <c r="X31" s="3" t="s">
        <v>385</v>
      </c>
      <c r="Y31" s="3" t="s">
        <v>386</v>
      </c>
      <c r="Z31" s="3" t="s">
        <v>387</v>
      </c>
      <c r="AA31" s="3" t="s">
        <v>96</v>
      </c>
      <c r="AB31" s="3">
        <v>13</v>
      </c>
      <c r="AC31" s="3">
        <f t="shared" si="0"/>
        <v>0</v>
      </c>
      <c r="AD31" s="3">
        <f t="shared" si="1"/>
        <v>1</v>
      </c>
      <c r="AH31" s="3" t="s">
        <v>324</v>
      </c>
      <c r="AI31" s="3">
        <f t="shared" si="2"/>
        <v>1</v>
      </c>
      <c r="AJ31" s="3" t="str">
        <f ca="1">IFERROR(_xludf.MINIFS($P$2:$P$175,$A$2:$A$175,$A31,$C$2:$C$175,$C31,$AC$2:$AC$175,1),"")</f>
        <v/>
      </c>
    </row>
    <row r="32" spans="1:36" x14ac:dyDescent="0.2">
      <c r="A32" s="3" t="s">
        <v>388</v>
      </c>
      <c r="B32" s="3" t="s">
        <v>389</v>
      </c>
      <c r="C32" s="3" t="s">
        <v>257</v>
      </c>
      <c r="D32" s="3" t="s">
        <v>390</v>
      </c>
      <c r="E32" s="3" t="s">
        <v>391</v>
      </c>
      <c r="F32" s="3" t="s">
        <v>324</v>
      </c>
      <c r="G32" s="3" t="s">
        <v>259</v>
      </c>
      <c r="H32" s="3" t="s">
        <v>260</v>
      </c>
      <c r="I32" s="3" t="s">
        <v>80</v>
      </c>
      <c r="J32" s="3" t="s">
        <v>81</v>
      </c>
      <c r="K32" s="3" t="s">
        <v>392</v>
      </c>
      <c r="L32" s="3" t="s">
        <v>393</v>
      </c>
      <c r="M32" s="3" t="s">
        <v>133</v>
      </c>
      <c r="N32" s="3" t="s">
        <v>134</v>
      </c>
      <c r="O32" s="3" t="s">
        <v>104</v>
      </c>
      <c r="P32" s="3">
        <v>2025</v>
      </c>
      <c r="Q32" s="3" t="s">
        <v>394</v>
      </c>
      <c r="R32" s="3" t="s">
        <v>88</v>
      </c>
      <c r="S32" s="3" t="s">
        <v>395</v>
      </c>
      <c r="T32" s="3" t="s">
        <v>90</v>
      </c>
      <c r="U32" s="3" t="s">
        <v>396</v>
      </c>
      <c r="V32" s="3" t="s">
        <v>397</v>
      </c>
      <c r="W32" s="3" t="s">
        <v>398</v>
      </c>
      <c r="X32" s="3" t="s">
        <v>399</v>
      </c>
      <c r="Y32" s="3" t="s">
        <v>400</v>
      </c>
      <c r="Z32" s="3" t="s">
        <v>401</v>
      </c>
      <c r="AA32" s="3" t="s">
        <v>96</v>
      </c>
      <c r="AB32" s="3">
        <v>14</v>
      </c>
      <c r="AC32" s="3">
        <f t="shared" si="0"/>
        <v>1</v>
      </c>
      <c r="AD32" s="3">
        <f t="shared" si="1"/>
        <v>1</v>
      </c>
      <c r="AG32" s="20" t="s">
        <v>402</v>
      </c>
      <c r="AH32" s="3" t="s">
        <v>324</v>
      </c>
      <c r="AI32" s="3">
        <f t="shared" si="2"/>
        <v>1</v>
      </c>
      <c r="AJ32" s="3" t="str">
        <f ca="1">IFERROR(_xludf.MINIFS($P$2:$P$175,$A$2:$A$175,$A32,$C$2:$C$175,$C32,$AC$2:$AC$175,1),"")</f>
        <v/>
      </c>
    </row>
    <row r="33" spans="1:36" x14ac:dyDescent="0.2">
      <c r="A33" s="3" t="s">
        <v>388</v>
      </c>
      <c r="B33" s="3" t="s">
        <v>389</v>
      </c>
      <c r="C33" s="3" t="s">
        <v>257</v>
      </c>
      <c r="D33" s="3" t="s">
        <v>390</v>
      </c>
      <c r="E33" s="3" t="s">
        <v>391</v>
      </c>
      <c r="F33" s="3" t="s">
        <v>324</v>
      </c>
      <c r="G33" s="3" t="s">
        <v>259</v>
      </c>
      <c r="H33" s="3" t="s">
        <v>260</v>
      </c>
      <c r="I33" s="3" t="s">
        <v>99</v>
      </c>
      <c r="J33" s="3" t="s">
        <v>215</v>
      </c>
      <c r="K33" s="3" t="s">
        <v>403</v>
      </c>
      <c r="L33" s="3" t="s">
        <v>371</v>
      </c>
      <c r="M33" s="3" t="s">
        <v>102</v>
      </c>
      <c r="N33" s="3" t="s">
        <v>103</v>
      </c>
      <c r="O33" s="3" t="s">
        <v>104</v>
      </c>
      <c r="P33" s="3">
        <v>2026</v>
      </c>
      <c r="Q33" s="3" t="s">
        <v>404</v>
      </c>
      <c r="R33" s="3" t="s">
        <v>88</v>
      </c>
      <c r="S33" s="3" t="s">
        <v>405</v>
      </c>
      <c r="T33" s="3" t="s">
        <v>90</v>
      </c>
      <c r="U33" s="3" t="s">
        <v>365</v>
      </c>
      <c r="V33" s="3" t="s">
        <v>406</v>
      </c>
      <c r="W33" s="3" t="s">
        <v>407</v>
      </c>
      <c r="X33" s="3" t="s">
        <v>408</v>
      </c>
      <c r="Y33" s="3" t="s">
        <v>409</v>
      </c>
      <c r="Z33" s="3" t="s">
        <v>410</v>
      </c>
      <c r="AA33" s="3" t="s">
        <v>96</v>
      </c>
      <c r="AB33" s="3">
        <v>14</v>
      </c>
      <c r="AC33" s="3">
        <f t="shared" si="0"/>
        <v>1</v>
      </c>
      <c r="AD33" s="3">
        <f t="shared" si="1"/>
        <v>1</v>
      </c>
      <c r="AH33" s="3" t="s">
        <v>324</v>
      </c>
      <c r="AI33" s="3">
        <f t="shared" si="2"/>
        <v>1</v>
      </c>
      <c r="AJ33" s="3" t="str">
        <f ca="1">IFERROR(_xludf.MINIFS($P$2:$P$175,$A$2:$A$175,$A33,$C$2:$C$175,$C33,$AC$2:$AC$175,1),"")</f>
        <v/>
      </c>
    </row>
    <row r="34" spans="1:36" x14ac:dyDescent="0.2">
      <c r="A34" s="3" t="s">
        <v>388</v>
      </c>
      <c r="B34" s="3" t="s">
        <v>389</v>
      </c>
      <c r="C34" s="3" t="s">
        <v>257</v>
      </c>
      <c r="D34" s="3" t="s">
        <v>390</v>
      </c>
      <c r="E34" s="3" t="s">
        <v>391</v>
      </c>
      <c r="F34" s="3" t="s">
        <v>324</v>
      </c>
      <c r="G34" s="3" t="s">
        <v>259</v>
      </c>
      <c r="H34" s="3" t="s">
        <v>260</v>
      </c>
      <c r="I34" s="3" t="s">
        <v>113</v>
      </c>
      <c r="J34" s="3" t="s">
        <v>81</v>
      </c>
      <c r="K34" s="3" t="s">
        <v>411</v>
      </c>
      <c r="L34" s="3" t="s">
        <v>412</v>
      </c>
      <c r="M34" s="3" t="s">
        <v>242</v>
      </c>
      <c r="N34" s="3" t="s">
        <v>85</v>
      </c>
      <c r="O34" s="3" t="s">
        <v>219</v>
      </c>
      <c r="P34" s="3">
        <v>2025</v>
      </c>
      <c r="Q34" s="3" t="s">
        <v>413</v>
      </c>
      <c r="R34" s="3" t="s">
        <v>88</v>
      </c>
      <c r="S34" s="3" t="s">
        <v>414</v>
      </c>
      <c r="T34" s="3" t="s">
        <v>90</v>
      </c>
      <c r="U34" s="3" t="s">
        <v>347</v>
      </c>
      <c r="V34" s="3" t="s">
        <v>415</v>
      </c>
      <c r="W34" s="3" t="s">
        <v>416</v>
      </c>
      <c r="X34" s="3"/>
      <c r="Y34" s="3" t="s">
        <v>417</v>
      </c>
      <c r="Z34" s="3" t="s">
        <v>418</v>
      </c>
      <c r="AA34" s="3" t="s">
        <v>96</v>
      </c>
      <c r="AB34" s="3">
        <v>14</v>
      </c>
      <c r="AC34" s="3">
        <f t="shared" ref="AC34:AC65" si="3">IF(OR($M34="Positive",$M34="Restricted Positive"),1,0)</f>
        <v>0</v>
      </c>
      <c r="AD34" s="3">
        <f t="shared" ref="AD34:AD65" si="4">IF($M34="Not Evaluated",0,1)</f>
        <v>1</v>
      </c>
      <c r="AH34" s="3" t="s">
        <v>324</v>
      </c>
      <c r="AI34" s="3">
        <f t="shared" ref="AI34:AI65" si="5">IF(COUNTIFS($A$2:$A$175,$A34,$C$2:$C$175,$C34,$AC$2:$AC$175,1)&gt;0,1,0)</f>
        <v>1</v>
      </c>
      <c r="AJ34" s="3" t="str">
        <f ca="1">IFERROR(_xludf.MINIFS($P$2:$P$175,$A$2:$A$175,$A34,$C$2:$C$175,$C34,$AC$2:$AC$175,1),"")</f>
        <v/>
      </c>
    </row>
    <row r="35" spans="1:36" x14ac:dyDescent="0.2">
      <c r="A35" s="3" t="s">
        <v>419</v>
      </c>
      <c r="B35" s="3" t="s">
        <v>420</v>
      </c>
      <c r="C35" s="3" t="s">
        <v>291</v>
      </c>
      <c r="D35" s="3" t="s">
        <v>421</v>
      </c>
      <c r="E35" s="3" t="s">
        <v>422</v>
      </c>
      <c r="F35" s="3" t="s">
        <v>423</v>
      </c>
      <c r="G35" s="3" t="s">
        <v>259</v>
      </c>
      <c r="H35" s="3" t="s">
        <v>260</v>
      </c>
      <c r="I35" s="3" t="s">
        <v>80</v>
      </c>
      <c r="J35" s="3" t="s">
        <v>130</v>
      </c>
      <c r="K35" s="3" t="s">
        <v>424</v>
      </c>
      <c r="L35" s="3" t="s">
        <v>393</v>
      </c>
      <c r="M35" s="3" t="s">
        <v>133</v>
      </c>
      <c r="N35" s="3" t="s">
        <v>134</v>
      </c>
      <c r="O35" s="3" t="s">
        <v>104</v>
      </c>
      <c r="P35" s="3">
        <v>2025</v>
      </c>
      <c r="Q35" s="3" t="s">
        <v>425</v>
      </c>
      <c r="R35" s="3" t="s">
        <v>88</v>
      </c>
      <c r="S35" s="3" t="s">
        <v>426</v>
      </c>
      <c r="T35" s="3" t="s">
        <v>90</v>
      </c>
      <c r="U35" s="3" t="s">
        <v>107</v>
      </c>
      <c r="V35" s="3" t="s">
        <v>427</v>
      </c>
      <c r="W35" s="3" t="s">
        <v>428</v>
      </c>
      <c r="X35" s="3" t="s">
        <v>429</v>
      </c>
      <c r="Y35" s="3" t="s">
        <v>430</v>
      </c>
      <c r="Z35" s="3" t="s">
        <v>431</v>
      </c>
      <c r="AA35" s="3" t="s">
        <v>96</v>
      </c>
      <c r="AB35" s="3">
        <v>15</v>
      </c>
      <c r="AC35" s="3">
        <f t="shared" si="3"/>
        <v>1</v>
      </c>
      <c r="AD35" s="3">
        <f t="shared" si="4"/>
        <v>1</v>
      </c>
      <c r="AG35" s="20" t="s">
        <v>402</v>
      </c>
      <c r="AH35" s="3" t="s">
        <v>432</v>
      </c>
      <c r="AI35" s="3">
        <f t="shared" si="5"/>
        <v>1</v>
      </c>
      <c r="AJ35" s="3" t="str">
        <f ca="1">IFERROR(_xludf.MINIFS($P$2:$P$175,$A$2:$A$175,$A35,$C$2:$C$175,$C35,$AC$2:$AC$175,1),"")</f>
        <v/>
      </c>
    </row>
    <row r="36" spans="1:36" x14ac:dyDescent="0.2">
      <c r="A36" s="3" t="s">
        <v>419</v>
      </c>
      <c r="B36" s="3" t="s">
        <v>420</v>
      </c>
      <c r="C36" s="3" t="s">
        <v>291</v>
      </c>
      <c r="D36" s="3" t="s">
        <v>421</v>
      </c>
      <c r="E36" s="3" t="s">
        <v>422</v>
      </c>
      <c r="F36" s="3" t="s">
        <v>423</v>
      </c>
      <c r="G36" s="3" t="s">
        <v>259</v>
      </c>
      <c r="H36" s="3" t="s">
        <v>260</v>
      </c>
      <c r="I36" s="3" t="s">
        <v>99</v>
      </c>
      <c r="J36" s="3" t="s">
        <v>215</v>
      </c>
      <c r="K36" s="3" t="s">
        <v>433</v>
      </c>
      <c r="L36" s="3" t="s">
        <v>434</v>
      </c>
      <c r="M36" s="3" t="s">
        <v>133</v>
      </c>
      <c r="N36" s="3" t="s">
        <v>134</v>
      </c>
      <c r="O36" s="3" t="s">
        <v>86</v>
      </c>
      <c r="P36" s="3">
        <v>2024</v>
      </c>
      <c r="Q36" s="3" t="s">
        <v>435</v>
      </c>
      <c r="R36" s="3" t="s">
        <v>88</v>
      </c>
      <c r="S36" s="3" t="s">
        <v>436</v>
      </c>
      <c r="T36" s="3" t="s">
        <v>90</v>
      </c>
      <c r="U36" s="3" t="s">
        <v>396</v>
      </c>
      <c r="V36" s="3" t="s">
        <v>437</v>
      </c>
      <c r="W36" s="3" t="s">
        <v>438</v>
      </c>
      <c r="X36" s="3" t="s">
        <v>439</v>
      </c>
      <c r="Y36" s="3" t="s">
        <v>440</v>
      </c>
      <c r="Z36" s="3" t="s">
        <v>441</v>
      </c>
      <c r="AA36" s="3" t="s">
        <v>96</v>
      </c>
      <c r="AB36" s="3">
        <v>15</v>
      </c>
      <c r="AC36" s="3">
        <f t="shared" si="3"/>
        <v>1</v>
      </c>
      <c r="AD36" s="3">
        <f t="shared" si="4"/>
        <v>1</v>
      </c>
      <c r="AH36" s="3" t="s">
        <v>432</v>
      </c>
      <c r="AI36" s="3">
        <f t="shared" si="5"/>
        <v>1</v>
      </c>
      <c r="AJ36" s="3" t="str">
        <f ca="1">IFERROR(_xludf.MINIFS($P$2:$P$175,$A$2:$A$175,$A36,$C$2:$C$175,$C36,$AC$2:$AC$175,1),"")</f>
        <v/>
      </c>
    </row>
    <row r="37" spans="1:36" x14ac:dyDescent="0.2">
      <c r="A37" s="3" t="s">
        <v>419</v>
      </c>
      <c r="B37" s="3" t="s">
        <v>420</v>
      </c>
      <c r="C37" s="3" t="s">
        <v>291</v>
      </c>
      <c r="D37" s="3" t="s">
        <v>421</v>
      </c>
      <c r="E37" s="3" t="s">
        <v>422</v>
      </c>
      <c r="F37" s="3" t="s">
        <v>423</v>
      </c>
      <c r="G37" s="3" t="s">
        <v>259</v>
      </c>
      <c r="H37" s="3" t="s">
        <v>260</v>
      </c>
      <c r="I37" s="3" t="s">
        <v>113</v>
      </c>
      <c r="J37" s="3" t="s">
        <v>130</v>
      </c>
      <c r="K37" s="3" t="s">
        <v>442</v>
      </c>
      <c r="L37" s="3" t="s">
        <v>443</v>
      </c>
      <c r="M37" s="3" t="s">
        <v>84</v>
      </c>
      <c r="N37" s="3" t="s">
        <v>85</v>
      </c>
      <c r="O37" s="3" t="s">
        <v>135</v>
      </c>
      <c r="P37" s="3">
        <v>2026</v>
      </c>
      <c r="Q37" s="3" t="s">
        <v>444</v>
      </c>
      <c r="R37" s="3" t="s">
        <v>88</v>
      </c>
      <c r="S37" s="3" t="s">
        <v>445</v>
      </c>
      <c r="T37" s="3" t="s">
        <v>90</v>
      </c>
      <c r="U37" s="3" t="s">
        <v>396</v>
      </c>
      <c r="V37" s="3" t="s">
        <v>446</v>
      </c>
      <c r="W37" s="3" t="s">
        <v>447</v>
      </c>
      <c r="X37" s="3" t="s">
        <v>448</v>
      </c>
      <c r="Y37" s="3" t="s">
        <v>449</v>
      </c>
      <c r="Z37" s="3" t="s">
        <v>450</v>
      </c>
      <c r="AA37" s="3" t="s">
        <v>96</v>
      </c>
      <c r="AB37" s="3">
        <v>15</v>
      </c>
      <c r="AC37" s="3">
        <f t="shared" si="3"/>
        <v>0</v>
      </c>
      <c r="AD37" s="3">
        <f t="shared" si="4"/>
        <v>1</v>
      </c>
      <c r="AH37" s="3" t="s">
        <v>432</v>
      </c>
      <c r="AI37" s="3">
        <f t="shared" si="5"/>
        <v>1</v>
      </c>
      <c r="AJ37" s="3" t="str">
        <f ca="1">IFERROR(_xludf.MINIFS($P$2:$P$175,$A$2:$A$175,$A37,$C$2:$C$175,$C37,$AC$2:$AC$175,1),"")</f>
        <v/>
      </c>
    </row>
    <row r="38" spans="1:36" x14ac:dyDescent="0.2">
      <c r="A38" s="3" t="s">
        <v>451</v>
      </c>
      <c r="B38" s="3" t="s">
        <v>452</v>
      </c>
      <c r="C38" s="3" t="s">
        <v>453</v>
      </c>
      <c r="D38" s="3" t="s">
        <v>454</v>
      </c>
      <c r="E38" s="3" t="s">
        <v>454</v>
      </c>
      <c r="F38" s="3" t="s">
        <v>455</v>
      </c>
      <c r="G38" s="3" t="s">
        <v>456</v>
      </c>
      <c r="H38" s="3" t="s">
        <v>457</v>
      </c>
      <c r="I38" s="3" t="s">
        <v>80</v>
      </c>
      <c r="J38" s="3" t="s">
        <v>81</v>
      </c>
      <c r="K38" s="3" t="s">
        <v>458</v>
      </c>
      <c r="L38" s="3" t="s">
        <v>459</v>
      </c>
      <c r="M38" s="3" t="s">
        <v>363</v>
      </c>
      <c r="N38" s="3" t="s">
        <v>85</v>
      </c>
      <c r="O38" s="3" t="s">
        <v>104</v>
      </c>
      <c r="P38" s="3">
        <v>2025</v>
      </c>
      <c r="Q38" s="3" t="s">
        <v>460</v>
      </c>
      <c r="R38" s="3" t="s">
        <v>170</v>
      </c>
      <c r="S38" s="3" t="s">
        <v>461</v>
      </c>
      <c r="T38" s="3" t="s">
        <v>90</v>
      </c>
      <c r="U38" s="3" t="s">
        <v>107</v>
      </c>
      <c r="V38" s="3" t="s">
        <v>462</v>
      </c>
      <c r="W38" s="3" t="s">
        <v>463</v>
      </c>
      <c r="X38" s="3" t="s">
        <v>464</v>
      </c>
      <c r="Y38" s="3" t="s">
        <v>465</v>
      </c>
      <c r="Z38" s="3" t="s">
        <v>466</v>
      </c>
      <c r="AA38" s="3" t="s">
        <v>96</v>
      </c>
      <c r="AB38" s="3">
        <v>16</v>
      </c>
      <c r="AC38" s="3">
        <f t="shared" si="3"/>
        <v>0</v>
      </c>
      <c r="AD38" s="3">
        <f t="shared" si="4"/>
        <v>1</v>
      </c>
      <c r="AG38" s="20" t="s">
        <v>467</v>
      </c>
      <c r="AH38" s="3" t="s">
        <v>98</v>
      </c>
      <c r="AI38" s="3">
        <f t="shared" si="5"/>
        <v>0</v>
      </c>
      <c r="AJ38" s="3" t="str">
        <f ca="1">IFERROR(_xludf.MINIFS($P$2:$P$175,$A$2:$A$175,$A38,$C$2:$C$175,$C38,$AC$2:$AC$175,1),"")</f>
        <v/>
      </c>
    </row>
    <row r="39" spans="1:36" x14ac:dyDescent="0.2">
      <c r="A39" s="3" t="s">
        <v>451</v>
      </c>
      <c r="B39" s="3" t="s">
        <v>452</v>
      </c>
      <c r="C39" s="3" t="s">
        <v>453</v>
      </c>
      <c r="D39" s="3" t="s">
        <v>454</v>
      </c>
      <c r="E39" s="3" t="s">
        <v>454</v>
      </c>
      <c r="F39" s="3" t="s">
        <v>455</v>
      </c>
      <c r="G39" s="3" t="s">
        <v>456</v>
      </c>
      <c r="H39" s="3" t="s">
        <v>457</v>
      </c>
      <c r="I39" s="3" t="s">
        <v>99</v>
      </c>
      <c r="J39" s="3" t="s">
        <v>252</v>
      </c>
      <c r="K39" s="3" t="s">
        <v>468</v>
      </c>
      <c r="L39" s="3" t="s">
        <v>468</v>
      </c>
      <c r="M39" s="3" t="s">
        <v>218</v>
      </c>
      <c r="N39" s="3" t="s">
        <v>85</v>
      </c>
      <c r="O39" s="3" t="s">
        <v>104</v>
      </c>
      <c r="P39" s="3"/>
      <c r="Q39" s="3" t="s">
        <v>468</v>
      </c>
      <c r="R39" s="3" t="s">
        <v>221</v>
      </c>
      <c r="S39" s="3" t="s">
        <v>468</v>
      </c>
      <c r="T39" s="3" t="s">
        <v>90</v>
      </c>
      <c r="U39" s="3" t="s">
        <v>222</v>
      </c>
      <c r="V39" s="3" t="s">
        <v>468</v>
      </c>
      <c r="W39" s="3" t="s">
        <v>468</v>
      </c>
      <c r="X39" s="3" t="s">
        <v>468</v>
      </c>
      <c r="Y39" s="3" t="s">
        <v>468</v>
      </c>
      <c r="Z39" s="3" t="s">
        <v>468</v>
      </c>
      <c r="AA39" s="3" t="s">
        <v>96</v>
      </c>
      <c r="AB39" s="3">
        <v>16</v>
      </c>
      <c r="AC39" s="3">
        <f t="shared" si="3"/>
        <v>0</v>
      </c>
      <c r="AD39" s="3">
        <f t="shared" si="4"/>
        <v>0</v>
      </c>
      <c r="AH39" s="3" t="s">
        <v>98</v>
      </c>
      <c r="AI39" s="3">
        <f t="shared" si="5"/>
        <v>0</v>
      </c>
      <c r="AJ39" s="3" t="str">
        <f ca="1">IFERROR(_xludf.MINIFS($P$2:$P$175,$A$2:$A$175,$A39,$C$2:$C$175,$C39,$AC$2:$AC$175,1),"")</f>
        <v/>
      </c>
    </row>
    <row r="40" spans="1:36" x14ac:dyDescent="0.2">
      <c r="A40" s="3" t="s">
        <v>451</v>
      </c>
      <c r="B40" s="3" t="s">
        <v>452</v>
      </c>
      <c r="C40" s="3" t="s">
        <v>453</v>
      </c>
      <c r="D40" s="3" t="s">
        <v>454</v>
      </c>
      <c r="E40" s="3" t="s">
        <v>454</v>
      </c>
      <c r="F40" s="3" t="s">
        <v>455</v>
      </c>
      <c r="G40" s="3" t="s">
        <v>456</v>
      </c>
      <c r="H40" s="3" t="s">
        <v>457</v>
      </c>
      <c r="I40" s="3" t="s">
        <v>113</v>
      </c>
      <c r="J40" s="3" t="s">
        <v>215</v>
      </c>
      <c r="K40" s="3" t="s">
        <v>469</v>
      </c>
      <c r="L40" s="3" t="s">
        <v>470</v>
      </c>
      <c r="M40" s="3" t="s">
        <v>363</v>
      </c>
      <c r="N40" s="3" t="s">
        <v>85</v>
      </c>
      <c r="O40" s="3" t="s">
        <v>104</v>
      </c>
      <c r="P40" s="3">
        <v>2025</v>
      </c>
      <c r="Q40" s="3" t="s">
        <v>471</v>
      </c>
      <c r="R40" s="3" t="s">
        <v>170</v>
      </c>
      <c r="S40" s="3" t="s">
        <v>472</v>
      </c>
      <c r="T40" s="3" t="s">
        <v>90</v>
      </c>
      <c r="U40" s="3" t="s">
        <v>107</v>
      </c>
      <c r="V40" s="3" t="s">
        <v>462</v>
      </c>
      <c r="W40" s="3" t="s">
        <v>473</v>
      </c>
      <c r="X40" s="3" t="s">
        <v>474</v>
      </c>
      <c r="Y40" s="3" t="s">
        <v>475</v>
      </c>
      <c r="Z40" s="3" t="s">
        <v>476</v>
      </c>
      <c r="AA40" s="3" t="s">
        <v>96</v>
      </c>
      <c r="AB40" s="3">
        <v>16</v>
      </c>
      <c r="AC40" s="3">
        <f t="shared" si="3"/>
        <v>0</v>
      </c>
      <c r="AD40" s="3">
        <f t="shared" si="4"/>
        <v>1</v>
      </c>
      <c r="AH40" s="3" t="s">
        <v>98</v>
      </c>
      <c r="AI40" s="3">
        <f t="shared" si="5"/>
        <v>0</v>
      </c>
      <c r="AJ40" s="3" t="str">
        <f ca="1">IFERROR(_xludf.MINIFS($P$2:$P$175,$A$2:$A$175,$A40,$C$2:$C$175,$C40,$AC$2:$AC$175,1),"")</f>
        <v/>
      </c>
    </row>
    <row r="41" spans="1:36" x14ac:dyDescent="0.2">
      <c r="A41" s="3" t="s">
        <v>477</v>
      </c>
      <c r="B41" s="3" t="s">
        <v>478</v>
      </c>
      <c r="C41" s="3" t="s">
        <v>453</v>
      </c>
      <c r="D41" s="3" t="s">
        <v>479</v>
      </c>
      <c r="E41" s="3" t="s">
        <v>480</v>
      </c>
      <c r="F41" s="3" t="s">
        <v>481</v>
      </c>
      <c r="G41" s="3" t="s">
        <v>456</v>
      </c>
      <c r="H41" s="3" t="s">
        <v>457</v>
      </c>
      <c r="I41" s="3" t="s">
        <v>80</v>
      </c>
      <c r="J41" s="3" t="s">
        <v>81</v>
      </c>
      <c r="K41" s="3" t="s">
        <v>482</v>
      </c>
      <c r="L41" s="3" t="s">
        <v>483</v>
      </c>
      <c r="M41" s="3" t="s">
        <v>84</v>
      </c>
      <c r="N41" s="3" t="s">
        <v>85</v>
      </c>
      <c r="O41" s="3" t="s">
        <v>135</v>
      </c>
      <c r="P41" s="3">
        <v>2025</v>
      </c>
      <c r="Q41" s="3" t="s">
        <v>484</v>
      </c>
      <c r="R41" s="3" t="s">
        <v>170</v>
      </c>
      <c r="S41" s="3" t="s">
        <v>485</v>
      </c>
      <c r="T41" s="3" t="s">
        <v>90</v>
      </c>
      <c r="U41" s="3" t="s">
        <v>107</v>
      </c>
      <c r="V41" s="3" t="s">
        <v>486</v>
      </c>
      <c r="W41" s="3" t="s">
        <v>487</v>
      </c>
      <c r="X41" s="3" t="s">
        <v>488</v>
      </c>
      <c r="Y41" s="3" t="s">
        <v>489</v>
      </c>
      <c r="Z41" s="3" t="s">
        <v>490</v>
      </c>
      <c r="AA41" s="3" t="s">
        <v>96</v>
      </c>
      <c r="AB41" s="3">
        <v>17</v>
      </c>
      <c r="AC41" s="3">
        <f t="shared" si="3"/>
        <v>0</v>
      </c>
      <c r="AD41" s="3">
        <f t="shared" si="4"/>
        <v>1</v>
      </c>
      <c r="AE41" s="19">
        <v>1200000</v>
      </c>
      <c r="AF41" s="19">
        <v>2800000</v>
      </c>
      <c r="AG41" s="20" t="s">
        <v>491</v>
      </c>
      <c r="AH41" s="3" t="s">
        <v>492</v>
      </c>
      <c r="AI41" s="3">
        <f t="shared" si="5"/>
        <v>0</v>
      </c>
      <c r="AJ41" s="3" t="str">
        <f ca="1">IFERROR(_xludf.MINIFS($P$2:$P$175,$A$2:$A$175,$A41,$C$2:$C$175,$C41,$AC$2:$AC$175,1),"")</f>
        <v/>
      </c>
    </row>
    <row r="42" spans="1:36" x14ac:dyDescent="0.2">
      <c r="A42" s="3" t="s">
        <v>477</v>
      </c>
      <c r="B42" s="3" t="s">
        <v>478</v>
      </c>
      <c r="C42" s="3" t="s">
        <v>453</v>
      </c>
      <c r="D42" s="3" t="s">
        <v>479</v>
      </c>
      <c r="E42" s="3" t="s">
        <v>480</v>
      </c>
      <c r="F42" s="3" t="s">
        <v>481</v>
      </c>
      <c r="G42" s="3" t="s">
        <v>456</v>
      </c>
      <c r="H42" s="3" t="s">
        <v>457</v>
      </c>
      <c r="I42" s="3" t="s">
        <v>99</v>
      </c>
      <c r="J42" s="3" t="s">
        <v>81</v>
      </c>
      <c r="K42" s="3" t="s">
        <v>493</v>
      </c>
      <c r="L42" s="3" t="s">
        <v>262</v>
      </c>
      <c r="M42" s="3" t="s">
        <v>84</v>
      </c>
      <c r="N42" s="3" t="s">
        <v>85</v>
      </c>
      <c r="O42" s="3" t="s">
        <v>135</v>
      </c>
      <c r="P42" s="3">
        <v>2025</v>
      </c>
      <c r="Q42" s="3" t="s">
        <v>494</v>
      </c>
      <c r="R42" s="3" t="s">
        <v>170</v>
      </c>
      <c r="S42" s="3" t="s">
        <v>495</v>
      </c>
      <c r="T42" s="3" t="s">
        <v>90</v>
      </c>
      <c r="U42" s="3" t="s">
        <v>107</v>
      </c>
      <c r="V42" s="3" t="s">
        <v>496</v>
      </c>
      <c r="W42" s="3" t="s">
        <v>497</v>
      </c>
      <c r="X42" s="3" t="s">
        <v>498</v>
      </c>
      <c r="Y42" s="3" t="s">
        <v>499</v>
      </c>
      <c r="Z42" s="3" t="s">
        <v>500</v>
      </c>
      <c r="AA42" s="3" t="s">
        <v>96</v>
      </c>
      <c r="AB42" s="3">
        <v>17</v>
      </c>
      <c r="AC42" s="3">
        <f t="shared" si="3"/>
        <v>0</v>
      </c>
      <c r="AD42" s="3">
        <f t="shared" si="4"/>
        <v>1</v>
      </c>
      <c r="AH42" s="3" t="s">
        <v>492</v>
      </c>
      <c r="AI42" s="3">
        <f t="shared" si="5"/>
        <v>0</v>
      </c>
      <c r="AJ42" s="3" t="str">
        <f ca="1">IFERROR(_xludf.MINIFS($P$2:$P$175,$A$2:$A$175,$A42,$C$2:$C$175,$C42,$AC$2:$AC$175,1),"")</f>
        <v/>
      </c>
    </row>
    <row r="43" spans="1:36" x14ac:dyDescent="0.2">
      <c r="A43" s="3" t="s">
        <v>477</v>
      </c>
      <c r="B43" s="3" t="s">
        <v>478</v>
      </c>
      <c r="C43" s="3" t="s">
        <v>453</v>
      </c>
      <c r="D43" s="3" t="s">
        <v>479</v>
      </c>
      <c r="E43" s="3" t="s">
        <v>480</v>
      </c>
      <c r="F43" s="3" t="s">
        <v>481</v>
      </c>
      <c r="G43" s="3" t="s">
        <v>456</v>
      </c>
      <c r="H43" s="3" t="s">
        <v>457</v>
      </c>
      <c r="I43" s="3" t="s">
        <v>113</v>
      </c>
      <c r="J43" s="3" t="s">
        <v>130</v>
      </c>
      <c r="K43" s="3" t="s">
        <v>501</v>
      </c>
      <c r="L43" s="3" t="s">
        <v>502</v>
      </c>
      <c r="M43" s="3" t="s">
        <v>363</v>
      </c>
      <c r="N43" s="3" t="s">
        <v>85</v>
      </c>
      <c r="O43" s="3" t="s">
        <v>104</v>
      </c>
      <c r="P43" s="3">
        <v>2025</v>
      </c>
      <c r="Q43" s="3" t="s">
        <v>503</v>
      </c>
      <c r="R43" s="3" t="s">
        <v>170</v>
      </c>
      <c r="S43" s="3" t="s">
        <v>504</v>
      </c>
      <c r="T43" s="3" t="s">
        <v>90</v>
      </c>
      <c r="U43" s="3" t="s">
        <v>396</v>
      </c>
      <c r="V43" s="3" t="s">
        <v>505</v>
      </c>
      <c r="W43" s="3" t="s">
        <v>506</v>
      </c>
      <c r="X43" s="3" t="s">
        <v>488</v>
      </c>
      <c r="Y43" s="3" t="s">
        <v>507</v>
      </c>
      <c r="Z43" s="3" t="s">
        <v>508</v>
      </c>
      <c r="AA43" s="3" t="s">
        <v>96</v>
      </c>
      <c r="AB43" s="3">
        <v>17</v>
      </c>
      <c r="AC43" s="3">
        <f t="shared" si="3"/>
        <v>0</v>
      </c>
      <c r="AD43" s="3">
        <f t="shared" si="4"/>
        <v>1</v>
      </c>
      <c r="AH43" s="3" t="s">
        <v>492</v>
      </c>
      <c r="AI43" s="3">
        <f t="shared" si="5"/>
        <v>0</v>
      </c>
      <c r="AJ43" s="3" t="str">
        <f ca="1">IFERROR(_xludf.MINIFS($P$2:$P$175,$A$2:$A$175,$A43,$C$2:$C$175,$C43,$AC$2:$AC$175,1),"")</f>
        <v/>
      </c>
    </row>
    <row r="44" spans="1:36" x14ac:dyDescent="0.2">
      <c r="A44" s="3" t="s">
        <v>509</v>
      </c>
      <c r="B44" s="3" t="s">
        <v>510</v>
      </c>
      <c r="C44" s="3" t="s">
        <v>511</v>
      </c>
      <c r="D44" s="3" t="s">
        <v>479</v>
      </c>
      <c r="E44" s="3" t="s">
        <v>480</v>
      </c>
      <c r="F44" s="3" t="s">
        <v>512</v>
      </c>
      <c r="G44" s="3" t="s">
        <v>513</v>
      </c>
      <c r="H44" s="3" t="s">
        <v>457</v>
      </c>
      <c r="I44" s="3" t="s">
        <v>80</v>
      </c>
      <c r="J44" s="3" t="s">
        <v>130</v>
      </c>
      <c r="K44" s="3" t="s">
        <v>514</v>
      </c>
      <c r="L44" s="3" t="s">
        <v>515</v>
      </c>
      <c r="M44" s="3" t="s">
        <v>84</v>
      </c>
      <c r="N44" s="3" t="s">
        <v>85</v>
      </c>
      <c r="O44" s="3" t="s">
        <v>135</v>
      </c>
      <c r="P44" s="3">
        <v>2023</v>
      </c>
      <c r="Q44" s="3" t="s">
        <v>516</v>
      </c>
      <c r="R44" s="3" t="s">
        <v>88</v>
      </c>
      <c r="S44" s="3" t="s">
        <v>517</v>
      </c>
      <c r="T44" s="3" t="s">
        <v>90</v>
      </c>
      <c r="U44" s="3" t="s">
        <v>107</v>
      </c>
      <c r="V44" s="3" t="s">
        <v>518</v>
      </c>
      <c r="W44" s="3" t="s">
        <v>519</v>
      </c>
      <c r="X44" s="3" t="s">
        <v>520</v>
      </c>
      <c r="Y44" s="3" t="s">
        <v>521</v>
      </c>
      <c r="Z44" s="3" t="s">
        <v>522</v>
      </c>
      <c r="AA44" s="3" t="s">
        <v>96</v>
      </c>
      <c r="AB44" s="3">
        <v>18</v>
      </c>
      <c r="AC44" s="3">
        <f t="shared" si="3"/>
        <v>0</v>
      </c>
      <c r="AD44" s="3">
        <f t="shared" si="4"/>
        <v>1</v>
      </c>
      <c r="AG44" s="20" t="s">
        <v>523</v>
      </c>
      <c r="AH44" s="3" t="s">
        <v>512</v>
      </c>
      <c r="AI44" s="3">
        <f t="shared" si="5"/>
        <v>1</v>
      </c>
      <c r="AJ44" s="3" t="str">
        <f ca="1">IFERROR(_xludf.MINIFS($P$2:$P$175,$A$2:$A$175,$A44,$C$2:$C$175,$C44,$AC$2:$AC$175,1),"")</f>
        <v/>
      </c>
    </row>
    <row r="45" spans="1:36" x14ac:dyDescent="0.2">
      <c r="A45" s="3" t="s">
        <v>509</v>
      </c>
      <c r="B45" s="3" t="s">
        <v>510</v>
      </c>
      <c r="C45" s="3" t="s">
        <v>511</v>
      </c>
      <c r="D45" s="3" t="s">
        <v>479</v>
      </c>
      <c r="E45" s="3" t="s">
        <v>480</v>
      </c>
      <c r="F45" s="3" t="s">
        <v>512</v>
      </c>
      <c r="G45" s="3" t="s">
        <v>513</v>
      </c>
      <c r="H45" s="3" t="s">
        <v>457</v>
      </c>
      <c r="I45" s="3" t="s">
        <v>99</v>
      </c>
      <c r="J45" s="3" t="s">
        <v>130</v>
      </c>
      <c r="K45" s="3" t="s">
        <v>524</v>
      </c>
      <c r="L45" s="3" t="s">
        <v>525</v>
      </c>
      <c r="M45" s="3" t="s">
        <v>102</v>
      </c>
      <c r="N45" s="3" t="s">
        <v>103</v>
      </c>
      <c r="O45" s="3" t="s">
        <v>104</v>
      </c>
      <c r="P45" s="3">
        <v>2024</v>
      </c>
      <c r="Q45" s="3" t="s">
        <v>526</v>
      </c>
      <c r="R45" s="3" t="s">
        <v>88</v>
      </c>
      <c r="S45" s="3" t="s">
        <v>527</v>
      </c>
      <c r="T45" s="3" t="s">
        <v>90</v>
      </c>
      <c r="U45" s="3" t="s">
        <v>396</v>
      </c>
      <c r="V45" s="3" t="s">
        <v>528</v>
      </c>
      <c r="W45" s="3" t="s">
        <v>529</v>
      </c>
      <c r="X45" s="3" t="s">
        <v>530</v>
      </c>
      <c r="Y45" s="3" t="s">
        <v>531</v>
      </c>
      <c r="Z45" s="3" t="s">
        <v>532</v>
      </c>
      <c r="AA45" s="3" t="s">
        <v>96</v>
      </c>
      <c r="AB45" s="3">
        <v>18</v>
      </c>
      <c r="AC45" s="3">
        <f t="shared" si="3"/>
        <v>1</v>
      </c>
      <c r="AD45" s="3">
        <f t="shared" si="4"/>
        <v>1</v>
      </c>
      <c r="AH45" s="3" t="s">
        <v>512</v>
      </c>
      <c r="AI45" s="3">
        <f t="shared" si="5"/>
        <v>1</v>
      </c>
      <c r="AJ45" s="3" t="str">
        <f ca="1">IFERROR(_xludf.MINIFS($P$2:$P$175,$A$2:$A$175,$A45,$C$2:$C$175,$C45,$AC$2:$AC$175,1),"")</f>
        <v/>
      </c>
    </row>
    <row r="46" spans="1:36" x14ac:dyDescent="0.2">
      <c r="A46" s="3" t="s">
        <v>509</v>
      </c>
      <c r="B46" s="3" t="s">
        <v>510</v>
      </c>
      <c r="C46" s="3" t="s">
        <v>511</v>
      </c>
      <c r="D46" s="3" t="s">
        <v>479</v>
      </c>
      <c r="E46" s="3" t="s">
        <v>480</v>
      </c>
      <c r="F46" s="3" t="s">
        <v>512</v>
      </c>
      <c r="G46" s="3" t="s">
        <v>513</v>
      </c>
      <c r="H46" s="3" t="s">
        <v>457</v>
      </c>
      <c r="I46" s="3" t="s">
        <v>113</v>
      </c>
      <c r="J46" s="3" t="s">
        <v>114</v>
      </c>
      <c r="K46" s="3" t="s">
        <v>533</v>
      </c>
      <c r="L46" s="3" t="s">
        <v>534</v>
      </c>
      <c r="M46" s="3" t="s">
        <v>102</v>
      </c>
      <c r="N46" s="3" t="s">
        <v>103</v>
      </c>
      <c r="O46" s="3" t="s">
        <v>104</v>
      </c>
      <c r="P46" s="3">
        <v>2023</v>
      </c>
      <c r="Q46" s="3" t="s">
        <v>535</v>
      </c>
      <c r="R46" s="3" t="s">
        <v>88</v>
      </c>
      <c r="S46" s="3" t="s">
        <v>536</v>
      </c>
      <c r="T46" s="3" t="s">
        <v>90</v>
      </c>
      <c r="U46" s="3" t="s">
        <v>396</v>
      </c>
      <c r="V46" s="3" t="s">
        <v>537</v>
      </c>
      <c r="W46" s="3" t="s">
        <v>538</v>
      </c>
      <c r="X46" s="3" t="s">
        <v>539</v>
      </c>
      <c r="Y46" s="3" t="s">
        <v>540</v>
      </c>
      <c r="Z46" s="3" t="s">
        <v>541</v>
      </c>
      <c r="AA46" s="3" t="s">
        <v>96</v>
      </c>
      <c r="AB46" s="3">
        <v>18</v>
      </c>
      <c r="AC46" s="3">
        <f t="shared" si="3"/>
        <v>1</v>
      </c>
      <c r="AD46" s="3">
        <f t="shared" si="4"/>
        <v>1</v>
      </c>
      <c r="AH46" s="3" t="s">
        <v>512</v>
      </c>
      <c r="AI46" s="3">
        <f t="shared" si="5"/>
        <v>1</v>
      </c>
      <c r="AJ46" s="3" t="str">
        <f ca="1">IFERROR(_xludf.MINIFS($P$2:$P$175,$A$2:$A$175,$A46,$C$2:$C$175,$C46,$AC$2:$AC$175,1),"")</f>
        <v/>
      </c>
    </row>
    <row r="47" spans="1:36" x14ac:dyDescent="0.2">
      <c r="A47" s="3" t="s">
        <v>542</v>
      </c>
      <c r="B47" s="3" t="s">
        <v>543</v>
      </c>
      <c r="C47" s="3" t="s">
        <v>511</v>
      </c>
      <c r="D47" s="3" t="s">
        <v>544</v>
      </c>
      <c r="E47" s="3" t="s">
        <v>544</v>
      </c>
      <c r="F47" s="3" t="s">
        <v>512</v>
      </c>
      <c r="G47" s="3" t="s">
        <v>513</v>
      </c>
      <c r="H47" s="3" t="s">
        <v>457</v>
      </c>
      <c r="I47" s="3" t="s">
        <v>80</v>
      </c>
      <c r="J47" s="3" t="s">
        <v>130</v>
      </c>
      <c r="K47" s="3" t="s">
        <v>545</v>
      </c>
      <c r="L47" s="3" t="s">
        <v>546</v>
      </c>
      <c r="M47" s="3" t="s">
        <v>84</v>
      </c>
      <c r="N47" s="3" t="s">
        <v>85</v>
      </c>
      <c r="O47" s="3" t="s">
        <v>135</v>
      </c>
      <c r="P47" s="3">
        <v>2025</v>
      </c>
      <c r="Q47" s="3" t="s">
        <v>547</v>
      </c>
      <c r="R47" s="3" t="s">
        <v>170</v>
      </c>
      <c r="S47" s="3" t="s">
        <v>548</v>
      </c>
      <c r="T47" s="3" t="s">
        <v>90</v>
      </c>
      <c r="U47" s="3" t="s">
        <v>329</v>
      </c>
      <c r="V47" s="3" t="s">
        <v>549</v>
      </c>
      <c r="W47" s="3" t="s">
        <v>550</v>
      </c>
      <c r="X47" s="3" t="s">
        <v>551</v>
      </c>
      <c r="Y47" s="3" t="s">
        <v>552</v>
      </c>
      <c r="Z47" s="3" t="s">
        <v>553</v>
      </c>
      <c r="AA47" s="3" t="s">
        <v>96</v>
      </c>
      <c r="AB47" s="3">
        <v>19</v>
      </c>
      <c r="AC47" s="3">
        <f t="shared" si="3"/>
        <v>0</v>
      </c>
      <c r="AD47" s="3">
        <f t="shared" si="4"/>
        <v>1</v>
      </c>
      <c r="AG47" s="20" t="s">
        <v>554</v>
      </c>
      <c r="AH47" s="3" t="s">
        <v>512</v>
      </c>
      <c r="AI47" s="3">
        <f t="shared" si="5"/>
        <v>1</v>
      </c>
      <c r="AJ47" s="3" t="str">
        <f ca="1">IFERROR(_xludf.MINIFS($P$2:$P$175,$A$2:$A$175,$A47,$C$2:$C$175,$C47,$AC$2:$AC$175,1),"")</f>
        <v/>
      </c>
    </row>
    <row r="48" spans="1:36" x14ac:dyDescent="0.2">
      <c r="A48" s="3" t="s">
        <v>542</v>
      </c>
      <c r="B48" s="3" t="s">
        <v>543</v>
      </c>
      <c r="C48" s="3" t="s">
        <v>511</v>
      </c>
      <c r="D48" s="3" t="s">
        <v>544</v>
      </c>
      <c r="E48" s="3" t="s">
        <v>544</v>
      </c>
      <c r="F48" s="3" t="s">
        <v>512</v>
      </c>
      <c r="G48" s="3" t="s">
        <v>513</v>
      </c>
      <c r="H48" s="3" t="s">
        <v>457</v>
      </c>
      <c r="I48" s="3" t="s">
        <v>99</v>
      </c>
      <c r="J48" s="3" t="s">
        <v>215</v>
      </c>
      <c r="K48" s="3" t="s">
        <v>555</v>
      </c>
      <c r="L48" s="3" t="s">
        <v>556</v>
      </c>
      <c r="M48" s="3" t="s">
        <v>133</v>
      </c>
      <c r="N48" s="3" t="s">
        <v>134</v>
      </c>
      <c r="O48" s="3" t="s">
        <v>557</v>
      </c>
      <c r="P48" s="3">
        <v>2025</v>
      </c>
      <c r="Q48" s="3" t="s">
        <v>558</v>
      </c>
      <c r="R48" s="3" t="s">
        <v>88</v>
      </c>
      <c r="S48" s="3" t="s">
        <v>559</v>
      </c>
      <c r="T48" s="3" t="s">
        <v>90</v>
      </c>
      <c r="U48" s="3" t="s">
        <v>329</v>
      </c>
      <c r="V48" s="3" t="s">
        <v>560</v>
      </c>
      <c r="W48" s="3" t="s">
        <v>561</v>
      </c>
      <c r="X48" s="3" t="s">
        <v>562</v>
      </c>
      <c r="Y48" s="3" t="s">
        <v>563</v>
      </c>
      <c r="Z48" s="3" t="s">
        <v>564</v>
      </c>
      <c r="AA48" s="3" t="s">
        <v>96</v>
      </c>
      <c r="AB48" s="3">
        <v>19</v>
      </c>
      <c r="AC48" s="3">
        <f t="shared" si="3"/>
        <v>1</v>
      </c>
      <c r="AD48" s="3">
        <f t="shared" si="4"/>
        <v>1</v>
      </c>
      <c r="AH48" s="3" t="s">
        <v>512</v>
      </c>
      <c r="AI48" s="3">
        <f t="shared" si="5"/>
        <v>1</v>
      </c>
      <c r="AJ48" s="3" t="str">
        <f ca="1">IFERROR(_xludf.MINIFS($P$2:$P$175,$A$2:$A$175,$A48,$C$2:$C$175,$C48,$AC$2:$AC$175,1),"")</f>
        <v/>
      </c>
    </row>
    <row r="49" spans="1:36" x14ac:dyDescent="0.2">
      <c r="A49" s="3" t="s">
        <v>542</v>
      </c>
      <c r="B49" s="3" t="s">
        <v>543</v>
      </c>
      <c r="C49" s="3" t="s">
        <v>511</v>
      </c>
      <c r="D49" s="3" t="s">
        <v>544</v>
      </c>
      <c r="E49" s="3" t="s">
        <v>544</v>
      </c>
      <c r="F49" s="3" t="s">
        <v>512</v>
      </c>
      <c r="G49" s="3" t="s">
        <v>513</v>
      </c>
      <c r="H49" s="3" t="s">
        <v>457</v>
      </c>
      <c r="I49" s="3" t="s">
        <v>113</v>
      </c>
      <c r="J49" s="3" t="s">
        <v>130</v>
      </c>
      <c r="K49" s="3" t="s">
        <v>565</v>
      </c>
      <c r="L49" s="3" t="s">
        <v>566</v>
      </c>
      <c r="M49" s="3" t="s">
        <v>102</v>
      </c>
      <c r="N49" s="3" t="s">
        <v>103</v>
      </c>
      <c r="O49" s="3" t="s">
        <v>104</v>
      </c>
      <c r="P49" s="3"/>
      <c r="Q49" s="3" t="s">
        <v>567</v>
      </c>
      <c r="R49" s="3" t="s">
        <v>88</v>
      </c>
      <c r="S49" s="3" t="s">
        <v>568</v>
      </c>
      <c r="T49" s="3" t="s">
        <v>90</v>
      </c>
      <c r="U49" s="3" t="s">
        <v>329</v>
      </c>
      <c r="V49" s="3" t="s">
        <v>549</v>
      </c>
      <c r="W49" s="3" t="s">
        <v>569</v>
      </c>
      <c r="X49" s="3" t="s">
        <v>570</v>
      </c>
      <c r="Y49" s="3" t="s">
        <v>571</v>
      </c>
      <c r="Z49" s="3" t="s">
        <v>572</v>
      </c>
      <c r="AA49" s="3" t="s">
        <v>96</v>
      </c>
      <c r="AB49" s="3">
        <v>19</v>
      </c>
      <c r="AC49" s="3">
        <f t="shared" si="3"/>
        <v>1</v>
      </c>
      <c r="AD49" s="3">
        <f t="shared" si="4"/>
        <v>1</v>
      </c>
      <c r="AH49" s="3" t="s">
        <v>512</v>
      </c>
      <c r="AI49" s="3">
        <f t="shared" si="5"/>
        <v>1</v>
      </c>
      <c r="AJ49" s="3" t="str">
        <f ca="1">IFERROR(_xludf.MINIFS($P$2:$P$175,$A$2:$A$175,$A49,$C$2:$C$175,$C49,$AC$2:$AC$175,1),"")</f>
        <v/>
      </c>
    </row>
    <row r="50" spans="1:36" x14ac:dyDescent="0.2">
      <c r="A50" s="3" t="s">
        <v>573</v>
      </c>
      <c r="B50" s="3" t="s">
        <v>574</v>
      </c>
      <c r="C50" s="3" t="s">
        <v>511</v>
      </c>
      <c r="D50" s="3" t="s">
        <v>575</v>
      </c>
      <c r="E50" s="3" t="s">
        <v>576</v>
      </c>
      <c r="F50" s="3" t="s">
        <v>512</v>
      </c>
      <c r="G50" s="3" t="s">
        <v>513</v>
      </c>
      <c r="H50" s="3" t="s">
        <v>457</v>
      </c>
      <c r="I50" s="3" t="s">
        <v>80</v>
      </c>
      <c r="J50" s="3" t="s">
        <v>130</v>
      </c>
      <c r="K50" s="3" t="s">
        <v>545</v>
      </c>
      <c r="L50" s="3" t="s">
        <v>546</v>
      </c>
      <c r="M50" s="3" t="s">
        <v>84</v>
      </c>
      <c r="N50" s="3" t="s">
        <v>85</v>
      </c>
      <c r="O50" s="3" t="s">
        <v>135</v>
      </c>
      <c r="P50" s="3">
        <v>2025</v>
      </c>
      <c r="Q50" s="3" t="s">
        <v>547</v>
      </c>
      <c r="R50" s="3" t="s">
        <v>170</v>
      </c>
      <c r="S50" s="3" t="s">
        <v>548</v>
      </c>
      <c r="T50" s="3" t="s">
        <v>90</v>
      </c>
      <c r="U50" s="3" t="s">
        <v>396</v>
      </c>
      <c r="V50" s="3" t="s">
        <v>549</v>
      </c>
      <c r="W50" s="3" t="s">
        <v>577</v>
      </c>
      <c r="X50" s="3" t="s">
        <v>551</v>
      </c>
      <c r="Y50" s="3" t="s">
        <v>578</v>
      </c>
      <c r="Z50" s="3" t="s">
        <v>579</v>
      </c>
      <c r="AA50" s="3" t="s">
        <v>96</v>
      </c>
      <c r="AB50" s="3">
        <v>20</v>
      </c>
      <c r="AC50" s="3">
        <f t="shared" si="3"/>
        <v>0</v>
      </c>
      <c r="AD50" s="3">
        <f t="shared" si="4"/>
        <v>1</v>
      </c>
      <c r="AG50" s="20" t="s">
        <v>554</v>
      </c>
      <c r="AH50" s="3" t="s">
        <v>512</v>
      </c>
      <c r="AI50" s="3">
        <f t="shared" si="5"/>
        <v>1</v>
      </c>
      <c r="AJ50" s="3" t="str">
        <f ca="1">IFERROR(_xludf.MINIFS($P$2:$P$175,$A$2:$A$175,$A50,$C$2:$C$175,$C50,$AC$2:$AC$175,1),"")</f>
        <v/>
      </c>
    </row>
    <row r="51" spans="1:36" x14ac:dyDescent="0.2">
      <c r="A51" s="3" t="s">
        <v>573</v>
      </c>
      <c r="B51" s="3" t="s">
        <v>574</v>
      </c>
      <c r="C51" s="3" t="s">
        <v>511</v>
      </c>
      <c r="D51" s="3" t="s">
        <v>575</v>
      </c>
      <c r="E51" s="3" t="s">
        <v>576</v>
      </c>
      <c r="F51" s="3" t="s">
        <v>512</v>
      </c>
      <c r="G51" s="3" t="s">
        <v>513</v>
      </c>
      <c r="H51" s="3" t="s">
        <v>457</v>
      </c>
      <c r="I51" s="3" t="s">
        <v>99</v>
      </c>
      <c r="J51" s="3" t="s">
        <v>215</v>
      </c>
      <c r="K51" s="3" t="s">
        <v>555</v>
      </c>
      <c r="L51" s="3" t="s">
        <v>556</v>
      </c>
      <c r="M51" s="3" t="s">
        <v>133</v>
      </c>
      <c r="N51" s="3" t="s">
        <v>134</v>
      </c>
      <c r="O51" s="3" t="s">
        <v>557</v>
      </c>
      <c r="P51" s="3">
        <v>2025</v>
      </c>
      <c r="Q51" s="3" t="s">
        <v>558</v>
      </c>
      <c r="R51" s="3" t="s">
        <v>88</v>
      </c>
      <c r="S51" s="3" t="s">
        <v>580</v>
      </c>
      <c r="T51" s="3" t="s">
        <v>90</v>
      </c>
      <c r="U51" s="3" t="s">
        <v>396</v>
      </c>
      <c r="V51" s="3" t="s">
        <v>560</v>
      </c>
      <c r="W51" s="3" t="s">
        <v>581</v>
      </c>
      <c r="X51" s="3" t="s">
        <v>582</v>
      </c>
      <c r="Y51" s="3" t="s">
        <v>583</v>
      </c>
      <c r="Z51" s="3" t="s">
        <v>584</v>
      </c>
      <c r="AA51" s="3" t="s">
        <v>96</v>
      </c>
      <c r="AB51" s="3">
        <v>20</v>
      </c>
      <c r="AC51" s="3">
        <f t="shared" si="3"/>
        <v>1</v>
      </c>
      <c r="AD51" s="3">
        <f t="shared" si="4"/>
        <v>1</v>
      </c>
      <c r="AH51" s="3" t="s">
        <v>512</v>
      </c>
      <c r="AI51" s="3">
        <f t="shared" si="5"/>
        <v>1</v>
      </c>
      <c r="AJ51" s="3" t="str">
        <f ca="1">IFERROR(_xludf.MINIFS($P$2:$P$175,$A$2:$A$175,$A51,$C$2:$C$175,$C51,$AC$2:$AC$175,1),"")</f>
        <v/>
      </c>
    </row>
    <row r="52" spans="1:36" x14ac:dyDescent="0.2">
      <c r="A52" s="3" t="s">
        <v>573</v>
      </c>
      <c r="B52" s="3" t="s">
        <v>574</v>
      </c>
      <c r="C52" s="3" t="s">
        <v>511</v>
      </c>
      <c r="D52" s="3" t="s">
        <v>575</v>
      </c>
      <c r="E52" s="3" t="s">
        <v>576</v>
      </c>
      <c r="F52" s="3" t="s">
        <v>512</v>
      </c>
      <c r="G52" s="3" t="s">
        <v>513</v>
      </c>
      <c r="H52" s="3" t="s">
        <v>457</v>
      </c>
      <c r="I52" s="3" t="s">
        <v>113</v>
      </c>
      <c r="J52" s="3" t="s">
        <v>130</v>
      </c>
      <c r="K52" s="3" t="s">
        <v>565</v>
      </c>
      <c r="L52" s="3" t="s">
        <v>566</v>
      </c>
      <c r="M52" s="3" t="s">
        <v>102</v>
      </c>
      <c r="N52" s="3" t="s">
        <v>103</v>
      </c>
      <c r="O52" s="3" t="s">
        <v>104</v>
      </c>
      <c r="P52" s="3"/>
      <c r="Q52" s="3" t="s">
        <v>585</v>
      </c>
      <c r="R52" s="3" t="s">
        <v>88</v>
      </c>
      <c r="S52" s="3" t="s">
        <v>586</v>
      </c>
      <c r="T52" s="3" t="s">
        <v>90</v>
      </c>
      <c r="U52" s="3" t="s">
        <v>329</v>
      </c>
      <c r="V52" s="3" t="s">
        <v>549</v>
      </c>
      <c r="W52" s="3" t="s">
        <v>569</v>
      </c>
      <c r="X52" s="3" t="s">
        <v>570</v>
      </c>
      <c r="Y52" s="3" t="s">
        <v>587</v>
      </c>
      <c r="Z52" s="3" t="s">
        <v>588</v>
      </c>
      <c r="AA52" s="3" t="s">
        <v>96</v>
      </c>
      <c r="AB52" s="3">
        <v>20</v>
      </c>
      <c r="AC52" s="3">
        <f t="shared" si="3"/>
        <v>1</v>
      </c>
      <c r="AD52" s="3">
        <f t="shared" si="4"/>
        <v>1</v>
      </c>
      <c r="AH52" s="3" t="s">
        <v>512</v>
      </c>
      <c r="AI52" s="3">
        <f t="shared" si="5"/>
        <v>1</v>
      </c>
      <c r="AJ52" s="3" t="str">
        <f ca="1">IFERROR(_xludf.MINIFS($P$2:$P$175,$A$2:$A$175,$A52,$C$2:$C$175,$C52,$AC$2:$AC$175,1),"")</f>
        <v/>
      </c>
    </row>
    <row r="53" spans="1:36" x14ac:dyDescent="0.2">
      <c r="A53" s="3" t="s">
        <v>589</v>
      </c>
      <c r="B53" s="3" t="s">
        <v>590</v>
      </c>
      <c r="C53" s="3" t="s">
        <v>511</v>
      </c>
      <c r="D53" s="3" t="s">
        <v>591</v>
      </c>
      <c r="E53" s="3" t="s">
        <v>591</v>
      </c>
      <c r="F53" s="3" t="s">
        <v>592</v>
      </c>
      <c r="G53" s="3" t="s">
        <v>513</v>
      </c>
      <c r="H53" s="3" t="s">
        <v>457</v>
      </c>
      <c r="I53" s="3" t="s">
        <v>80</v>
      </c>
      <c r="J53" s="3" t="s">
        <v>130</v>
      </c>
      <c r="K53" s="3" t="s">
        <v>545</v>
      </c>
      <c r="L53" s="3" t="s">
        <v>546</v>
      </c>
      <c r="M53" s="3" t="s">
        <v>84</v>
      </c>
      <c r="N53" s="3" t="s">
        <v>85</v>
      </c>
      <c r="O53" s="3" t="s">
        <v>135</v>
      </c>
      <c r="P53" s="3">
        <v>2025</v>
      </c>
      <c r="Q53" s="3" t="s">
        <v>547</v>
      </c>
      <c r="R53" s="3" t="s">
        <v>170</v>
      </c>
      <c r="S53" s="3" t="s">
        <v>548</v>
      </c>
      <c r="T53" s="3" t="s">
        <v>90</v>
      </c>
      <c r="U53" s="3" t="s">
        <v>396</v>
      </c>
      <c r="V53" s="3" t="s">
        <v>593</v>
      </c>
      <c r="W53" s="3" t="s">
        <v>577</v>
      </c>
      <c r="X53" s="3" t="s">
        <v>594</v>
      </c>
      <c r="Y53" s="3" t="s">
        <v>595</v>
      </c>
      <c r="Z53" s="3" t="s">
        <v>596</v>
      </c>
      <c r="AA53" s="3" t="s">
        <v>96</v>
      </c>
      <c r="AB53" s="3">
        <v>21</v>
      </c>
      <c r="AC53" s="3">
        <f t="shared" si="3"/>
        <v>0</v>
      </c>
      <c r="AD53" s="3">
        <f t="shared" si="4"/>
        <v>1</v>
      </c>
      <c r="AG53" s="20" t="s">
        <v>554</v>
      </c>
      <c r="AH53" s="3" t="s">
        <v>129</v>
      </c>
      <c r="AI53" s="3">
        <f t="shared" si="5"/>
        <v>1</v>
      </c>
      <c r="AJ53" s="3" t="str">
        <f ca="1">IFERROR(_xludf.MINIFS($P$2:$P$175,$A$2:$A$175,$A53,$C$2:$C$175,$C53,$AC$2:$AC$175,1),"")</f>
        <v/>
      </c>
    </row>
    <row r="54" spans="1:36" x14ac:dyDescent="0.2">
      <c r="A54" s="3" t="s">
        <v>589</v>
      </c>
      <c r="B54" s="3" t="s">
        <v>590</v>
      </c>
      <c r="C54" s="3" t="s">
        <v>511</v>
      </c>
      <c r="D54" s="3" t="s">
        <v>591</v>
      </c>
      <c r="E54" s="3" t="s">
        <v>591</v>
      </c>
      <c r="F54" s="3" t="s">
        <v>592</v>
      </c>
      <c r="G54" s="3" t="s">
        <v>513</v>
      </c>
      <c r="H54" s="3" t="s">
        <v>457</v>
      </c>
      <c r="I54" s="3" t="s">
        <v>99</v>
      </c>
      <c r="J54" s="3" t="s">
        <v>215</v>
      </c>
      <c r="K54" s="3" t="s">
        <v>555</v>
      </c>
      <c r="L54" s="3" t="s">
        <v>556</v>
      </c>
      <c r="M54" s="3" t="s">
        <v>133</v>
      </c>
      <c r="N54" s="3" t="s">
        <v>134</v>
      </c>
      <c r="O54" s="3" t="s">
        <v>557</v>
      </c>
      <c r="P54" s="3">
        <v>2025</v>
      </c>
      <c r="Q54" s="3" t="s">
        <v>558</v>
      </c>
      <c r="R54" s="3" t="s">
        <v>264</v>
      </c>
      <c r="S54" s="3" t="s">
        <v>597</v>
      </c>
      <c r="T54" s="3" t="s">
        <v>90</v>
      </c>
      <c r="U54" s="3" t="s">
        <v>222</v>
      </c>
      <c r="V54" s="3" t="s">
        <v>560</v>
      </c>
      <c r="W54" s="3" t="s">
        <v>598</v>
      </c>
      <c r="X54" s="3" t="s">
        <v>599</v>
      </c>
      <c r="Y54" s="3" t="s">
        <v>600</v>
      </c>
      <c r="Z54" s="3" t="s">
        <v>601</v>
      </c>
      <c r="AA54" s="3" t="s">
        <v>96</v>
      </c>
      <c r="AB54" s="3">
        <v>21</v>
      </c>
      <c r="AC54" s="3">
        <f t="shared" si="3"/>
        <v>1</v>
      </c>
      <c r="AD54" s="3">
        <f t="shared" si="4"/>
        <v>1</v>
      </c>
      <c r="AH54" s="3" t="s">
        <v>129</v>
      </c>
      <c r="AI54" s="3">
        <f t="shared" si="5"/>
        <v>1</v>
      </c>
      <c r="AJ54" s="3" t="str">
        <f ca="1">IFERROR(_xludf.MINIFS($P$2:$P$175,$A$2:$A$175,$A54,$C$2:$C$175,$C54,$AC$2:$AC$175,1),"")</f>
        <v/>
      </c>
    </row>
    <row r="55" spans="1:36" x14ac:dyDescent="0.2">
      <c r="A55" s="3" t="s">
        <v>589</v>
      </c>
      <c r="B55" s="3" t="s">
        <v>590</v>
      </c>
      <c r="C55" s="3" t="s">
        <v>511</v>
      </c>
      <c r="D55" s="3" t="s">
        <v>591</v>
      </c>
      <c r="E55" s="3" t="s">
        <v>591</v>
      </c>
      <c r="F55" s="3" t="s">
        <v>592</v>
      </c>
      <c r="G55" s="3" t="s">
        <v>513</v>
      </c>
      <c r="H55" s="3" t="s">
        <v>457</v>
      </c>
      <c r="I55" s="3" t="s">
        <v>113</v>
      </c>
      <c r="J55" s="3" t="s">
        <v>130</v>
      </c>
      <c r="K55" s="3" t="s">
        <v>565</v>
      </c>
      <c r="L55" s="3" t="s">
        <v>566</v>
      </c>
      <c r="M55" s="3" t="s">
        <v>102</v>
      </c>
      <c r="N55" s="3" t="s">
        <v>103</v>
      </c>
      <c r="O55" s="3" t="s">
        <v>104</v>
      </c>
      <c r="P55" s="3"/>
      <c r="Q55" s="3" t="s">
        <v>567</v>
      </c>
      <c r="R55" s="3" t="s">
        <v>88</v>
      </c>
      <c r="S55" s="3" t="s">
        <v>602</v>
      </c>
      <c r="T55" s="3" t="s">
        <v>90</v>
      </c>
      <c r="U55" s="3" t="s">
        <v>396</v>
      </c>
      <c r="V55" s="3" t="s">
        <v>549</v>
      </c>
      <c r="W55" s="3" t="s">
        <v>603</v>
      </c>
      <c r="X55" s="3" t="s">
        <v>604</v>
      </c>
      <c r="Y55" s="3" t="s">
        <v>605</v>
      </c>
      <c r="Z55" s="3" t="s">
        <v>606</v>
      </c>
      <c r="AA55" s="3" t="s">
        <v>96</v>
      </c>
      <c r="AB55" s="3">
        <v>21</v>
      </c>
      <c r="AC55" s="3">
        <f t="shared" si="3"/>
        <v>1</v>
      </c>
      <c r="AD55" s="3">
        <f t="shared" si="4"/>
        <v>1</v>
      </c>
      <c r="AH55" s="3" t="s">
        <v>129</v>
      </c>
      <c r="AI55" s="3">
        <f t="shared" si="5"/>
        <v>1</v>
      </c>
      <c r="AJ55" s="3" t="str">
        <f ca="1">IFERROR(_xludf.MINIFS($P$2:$P$175,$A$2:$A$175,$A55,$C$2:$C$175,$C55,$AC$2:$AC$175,1),"")</f>
        <v/>
      </c>
    </row>
    <row r="56" spans="1:36" x14ac:dyDescent="0.2">
      <c r="A56" s="3" t="s">
        <v>607</v>
      </c>
      <c r="B56" s="3" t="s">
        <v>608</v>
      </c>
      <c r="C56" s="3" t="s">
        <v>609</v>
      </c>
      <c r="D56" s="3" t="s">
        <v>610</v>
      </c>
      <c r="E56" s="3" t="s">
        <v>610</v>
      </c>
      <c r="F56" s="3" t="s">
        <v>611</v>
      </c>
      <c r="G56" s="3" t="s">
        <v>612</v>
      </c>
      <c r="H56" s="3" t="s">
        <v>457</v>
      </c>
      <c r="I56" s="3" t="s">
        <v>80</v>
      </c>
      <c r="J56" s="3" t="s">
        <v>130</v>
      </c>
      <c r="K56" s="3" t="s">
        <v>613</v>
      </c>
      <c r="L56" s="3" t="s">
        <v>614</v>
      </c>
      <c r="M56" s="3" t="s">
        <v>133</v>
      </c>
      <c r="N56" s="3" t="s">
        <v>134</v>
      </c>
      <c r="O56" s="3" t="s">
        <v>104</v>
      </c>
      <c r="P56" s="3">
        <v>2023</v>
      </c>
      <c r="Q56" s="3" t="s">
        <v>615</v>
      </c>
      <c r="R56" s="3" t="s">
        <v>88</v>
      </c>
      <c r="S56" s="3" t="s">
        <v>616</v>
      </c>
      <c r="T56" s="3" t="s">
        <v>90</v>
      </c>
      <c r="U56" s="3" t="s">
        <v>222</v>
      </c>
      <c r="V56" s="3" t="s">
        <v>617</v>
      </c>
      <c r="W56" s="3" t="s">
        <v>618</v>
      </c>
      <c r="X56" s="3" t="s">
        <v>619</v>
      </c>
      <c r="Y56" s="3" t="s">
        <v>620</v>
      </c>
      <c r="Z56" s="3" t="s">
        <v>621</v>
      </c>
      <c r="AA56" s="3" t="s">
        <v>96</v>
      </c>
      <c r="AB56" s="3">
        <v>22</v>
      </c>
      <c r="AC56" s="3">
        <f t="shared" si="3"/>
        <v>1</v>
      </c>
      <c r="AD56" s="3">
        <f t="shared" si="4"/>
        <v>1</v>
      </c>
      <c r="AG56" s="20" t="s">
        <v>622</v>
      </c>
      <c r="AH56" s="3" t="s">
        <v>178</v>
      </c>
      <c r="AI56" s="3">
        <f t="shared" si="5"/>
        <v>1</v>
      </c>
      <c r="AJ56" s="3" t="str">
        <f ca="1">IFERROR(_xludf.MINIFS($P$2:$P$175,$A$2:$A$175,$A56,$C$2:$C$175,$C56,$AC$2:$AC$175,1),"")</f>
        <v/>
      </c>
    </row>
    <row r="57" spans="1:36" x14ac:dyDescent="0.2">
      <c r="A57" s="3" t="s">
        <v>607</v>
      </c>
      <c r="B57" s="3" t="s">
        <v>608</v>
      </c>
      <c r="C57" s="3" t="s">
        <v>609</v>
      </c>
      <c r="D57" s="3" t="s">
        <v>610</v>
      </c>
      <c r="E57" s="3" t="s">
        <v>610</v>
      </c>
      <c r="F57" s="3" t="s">
        <v>611</v>
      </c>
      <c r="G57" s="3" t="s">
        <v>612</v>
      </c>
      <c r="H57" s="3" t="s">
        <v>457</v>
      </c>
      <c r="I57" s="3" t="s">
        <v>99</v>
      </c>
      <c r="J57" s="3" t="s">
        <v>215</v>
      </c>
      <c r="K57" s="3" t="s">
        <v>623</v>
      </c>
      <c r="L57" s="3" t="s">
        <v>624</v>
      </c>
      <c r="M57" s="3" t="s">
        <v>363</v>
      </c>
      <c r="N57" s="3" t="s">
        <v>85</v>
      </c>
      <c r="O57" s="3" t="s">
        <v>104</v>
      </c>
      <c r="P57" s="3"/>
      <c r="Q57" s="3" t="s">
        <v>625</v>
      </c>
      <c r="R57" s="3" t="s">
        <v>88</v>
      </c>
      <c r="S57" s="3" t="s">
        <v>626</v>
      </c>
      <c r="T57" s="3" t="s">
        <v>90</v>
      </c>
      <c r="U57" s="3" t="s">
        <v>396</v>
      </c>
      <c r="V57" s="3" t="s">
        <v>627</v>
      </c>
      <c r="W57" s="3" t="s">
        <v>628</v>
      </c>
      <c r="X57" s="3" t="s">
        <v>625</v>
      </c>
      <c r="Y57" s="3" t="s">
        <v>625</v>
      </c>
      <c r="Z57" s="3" t="s">
        <v>629</v>
      </c>
      <c r="AA57" s="3" t="s">
        <v>96</v>
      </c>
      <c r="AB57" s="3">
        <v>22</v>
      </c>
      <c r="AC57" s="3">
        <f t="shared" si="3"/>
        <v>0</v>
      </c>
      <c r="AD57" s="3">
        <f t="shared" si="4"/>
        <v>1</v>
      </c>
      <c r="AH57" s="3" t="s">
        <v>178</v>
      </c>
      <c r="AI57" s="3">
        <f t="shared" si="5"/>
        <v>1</v>
      </c>
      <c r="AJ57" s="3" t="str">
        <f ca="1">IFERROR(_xludf.MINIFS($P$2:$P$175,$A$2:$A$175,$A57,$C$2:$C$175,$C57,$AC$2:$AC$175,1),"")</f>
        <v/>
      </c>
    </row>
    <row r="58" spans="1:36" x14ac:dyDescent="0.2">
      <c r="A58" s="3" t="s">
        <v>607</v>
      </c>
      <c r="B58" s="3" t="s">
        <v>608</v>
      </c>
      <c r="C58" s="3" t="s">
        <v>609</v>
      </c>
      <c r="D58" s="3" t="s">
        <v>610</v>
      </c>
      <c r="E58" s="3" t="s">
        <v>610</v>
      </c>
      <c r="F58" s="3" t="s">
        <v>611</v>
      </c>
      <c r="G58" s="3" t="s">
        <v>612</v>
      </c>
      <c r="H58" s="3" t="s">
        <v>457</v>
      </c>
      <c r="I58" s="3" t="s">
        <v>113</v>
      </c>
      <c r="J58" s="3" t="s">
        <v>215</v>
      </c>
      <c r="K58" s="3" t="s">
        <v>630</v>
      </c>
      <c r="L58" s="3" t="s">
        <v>631</v>
      </c>
      <c r="M58" s="3" t="s">
        <v>363</v>
      </c>
      <c r="N58" s="3" t="s">
        <v>85</v>
      </c>
      <c r="O58" s="3" t="s">
        <v>104</v>
      </c>
      <c r="P58" s="3">
        <v>2025</v>
      </c>
      <c r="Q58" s="3" t="s">
        <v>632</v>
      </c>
      <c r="R58" s="3" t="s">
        <v>88</v>
      </c>
      <c r="S58" s="3" t="s">
        <v>633</v>
      </c>
      <c r="T58" s="3" t="s">
        <v>90</v>
      </c>
      <c r="U58" s="3" t="s">
        <v>396</v>
      </c>
      <c r="V58" s="3" t="s">
        <v>634</v>
      </c>
      <c r="W58" s="3" t="s">
        <v>635</v>
      </c>
      <c r="X58" s="3" t="s">
        <v>636</v>
      </c>
      <c r="Y58" s="3" t="s">
        <v>637</v>
      </c>
      <c r="Z58" s="3" t="s">
        <v>638</v>
      </c>
      <c r="AA58" s="3" t="s">
        <v>96</v>
      </c>
      <c r="AB58" s="3">
        <v>22</v>
      </c>
      <c r="AC58" s="3">
        <f t="shared" si="3"/>
        <v>0</v>
      </c>
      <c r="AD58" s="3">
        <f t="shared" si="4"/>
        <v>1</v>
      </c>
      <c r="AH58" s="3" t="s">
        <v>178</v>
      </c>
      <c r="AI58" s="3">
        <f t="shared" si="5"/>
        <v>1</v>
      </c>
      <c r="AJ58" s="3" t="str">
        <f ca="1">IFERROR(_xludf.MINIFS($P$2:$P$175,$A$2:$A$175,$A58,$C$2:$C$175,$C58,$AC$2:$AC$175,1),"")</f>
        <v/>
      </c>
    </row>
    <row r="59" spans="1:36" x14ac:dyDescent="0.2">
      <c r="A59" s="3" t="s">
        <v>639</v>
      </c>
      <c r="B59" s="3" t="s">
        <v>640</v>
      </c>
      <c r="C59" s="3" t="s">
        <v>641</v>
      </c>
      <c r="D59" s="3" t="s">
        <v>610</v>
      </c>
      <c r="E59" s="3" t="s">
        <v>610</v>
      </c>
      <c r="F59" s="3" t="s">
        <v>611</v>
      </c>
      <c r="G59" s="3" t="s">
        <v>612</v>
      </c>
      <c r="H59" s="3" t="s">
        <v>457</v>
      </c>
      <c r="I59" s="3" t="s">
        <v>80</v>
      </c>
      <c r="J59" s="3" t="s">
        <v>81</v>
      </c>
      <c r="K59" s="3" t="s">
        <v>642</v>
      </c>
      <c r="L59" s="3" t="s">
        <v>643</v>
      </c>
      <c r="M59" s="3" t="s">
        <v>133</v>
      </c>
      <c r="N59" s="3" t="s">
        <v>134</v>
      </c>
      <c r="O59" s="3" t="s">
        <v>104</v>
      </c>
      <c r="P59" s="3">
        <v>2018</v>
      </c>
      <c r="Q59" s="3" t="s">
        <v>644</v>
      </c>
      <c r="R59" s="3" t="s">
        <v>170</v>
      </c>
      <c r="S59" s="3" t="s">
        <v>645</v>
      </c>
      <c r="T59" s="3" t="s">
        <v>90</v>
      </c>
      <c r="U59" s="3" t="s">
        <v>365</v>
      </c>
      <c r="V59" s="3" t="s">
        <v>646</v>
      </c>
      <c r="W59" s="3" t="s">
        <v>647</v>
      </c>
      <c r="X59" s="3" t="s">
        <v>619</v>
      </c>
      <c r="Y59" s="3" t="s">
        <v>648</v>
      </c>
      <c r="Z59" s="3" t="s">
        <v>649</v>
      </c>
      <c r="AA59" s="3" t="s">
        <v>96</v>
      </c>
      <c r="AB59" s="3">
        <v>23</v>
      </c>
      <c r="AC59" s="3">
        <f t="shared" si="3"/>
        <v>1</v>
      </c>
      <c r="AD59" s="3">
        <f t="shared" si="4"/>
        <v>1</v>
      </c>
      <c r="AG59" s="20" t="s">
        <v>650</v>
      </c>
      <c r="AH59" s="3" t="s">
        <v>178</v>
      </c>
      <c r="AI59" s="3">
        <f t="shared" si="5"/>
        <v>1</v>
      </c>
      <c r="AJ59" s="3" t="str">
        <f ca="1">IFERROR(_xludf.MINIFS($P$2:$P$175,$A$2:$A$175,$A59,$C$2:$C$175,$C59,$AC$2:$AC$175,1),"")</f>
        <v/>
      </c>
    </row>
    <row r="60" spans="1:36" x14ac:dyDescent="0.2">
      <c r="A60" s="3" t="s">
        <v>639</v>
      </c>
      <c r="B60" s="3" t="s">
        <v>640</v>
      </c>
      <c r="C60" s="3" t="s">
        <v>641</v>
      </c>
      <c r="D60" s="3" t="s">
        <v>610</v>
      </c>
      <c r="E60" s="3" t="s">
        <v>610</v>
      </c>
      <c r="F60" s="3" t="s">
        <v>611</v>
      </c>
      <c r="G60" s="3" t="s">
        <v>612</v>
      </c>
      <c r="H60" s="3" t="s">
        <v>457</v>
      </c>
      <c r="I60" s="3" t="s">
        <v>99</v>
      </c>
      <c r="J60" s="3" t="s">
        <v>215</v>
      </c>
      <c r="K60" s="3" t="s">
        <v>651</v>
      </c>
      <c r="L60" s="3" t="s">
        <v>652</v>
      </c>
      <c r="M60" s="3" t="s">
        <v>102</v>
      </c>
      <c r="N60" s="3" t="s">
        <v>103</v>
      </c>
      <c r="O60" s="3" t="s">
        <v>104</v>
      </c>
      <c r="P60" s="3">
        <v>2020</v>
      </c>
      <c r="Q60" s="3" t="s">
        <v>653</v>
      </c>
      <c r="R60" s="3" t="s">
        <v>170</v>
      </c>
      <c r="S60" s="3" t="s">
        <v>654</v>
      </c>
      <c r="T60" s="3" t="s">
        <v>90</v>
      </c>
      <c r="U60" s="3" t="s">
        <v>396</v>
      </c>
      <c r="V60" s="3" t="s">
        <v>655</v>
      </c>
      <c r="W60" s="3" t="s">
        <v>656</v>
      </c>
      <c r="X60" s="3" t="s">
        <v>657</v>
      </c>
      <c r="Y60" s="3" t="s">
        <v>658</v>
      </c>
      <c r="Z60" s="3" t="s">
        <v>659</v>
      </c>
      <c r="AA60" s="3" t="s">
        <v>96</v>
      </c>
      <c r="AB60" s="3">
        <v>23</v>
      </c>
      <c r="AC60" s="3">
        <f t="shared" si="3"/>
        <v>1</v>
      </c>
      <c r="AD60" s="3">
        <f t="shared" si="4"/>
        <v>1</v>
      </c>
      <c r="AH60" s="3" t="s">
        <v>178</v>
      </c>
      <c r="AI60" s="3">
        <f t="shared" si="5"/>
        <v>1</v>
      </c>
      <c r="AJ60" s="3" t="str">
        <f ca="1">IFERROR(_xludf.MINIFS($P$2:$P$175,$A$2:$A$175,$A60,$C$2:$C$175,$C60,$AC$2:$AC$175,1),"")</f>
        <v/>
      </c>
    </row>
    <row r="61" spans="1:36" x14ac:dyDescent="0.2">
      <c r="A61" s="3" t="s">
        <v>639</v>
      </c>
      <c r="B61" s="3" t="s">
        <v>640</v>
      </c>
      <c r="C61" s="3" t="s">
        <v>641</v>
      </c>
      <c r="D61" s="3" t="s">
        <v>610</v>
      </c>
      <c r="E61" s="3" t="s">
        <v>610</v>
      </c>
      <c r="F61" s="3" t="s">
        <v>611</v>
      </c>
      <c r="G61" s="3" t="s">
        <v>612</v>
      </c>
      <c r="H61" s="3" t="s">
        <v>457</v>
      </c>
      <c r="I61" s="3" t="s">
        <v>113</v>
      </c>
      <c r="J61" s="3" t="s">
        <v>215</v>
      </c>
      <c r="K61" s="3" t="s">
        <v>660</v>
      </c>
      <c r="L61" s="3" t="s">
        <v>661</v>
      </c>
      <c r="M61" s="3" t="s">
        <v>84</v>
      </c>
      <c r="N61" s="3" t="s">
        <v>85</v>
      </c>
      <c r="O61" s="3" t="s">
        <v>135</v>
      </c>
      <c r="P61" s="3">
        <v>2024</v>
      </c>
      <c r="Q61" s="3" t="s">
        <v>662</v>
      </c>
      <c r="R61" s="3" t="s">
        <v>264</v>
      </c>
      <c r="S61" s="3" t="s">
        <v>663</v>
      </c>
      <c r="T61" s="3" t="s">
        <v>90</v>
      </c>
      <c r="U61" s="3" t="s">
        <v>347</v>
      </c>
      <c r="V61" s="3" t="s">
        <v>664</v>
      </c>
      <c r="W61" s="3" t="s">
        <v>665</v>
      </c>
      <c r="X61" s="3" t="s">
        <v>104</v>
      </c>
      <c r="Y61" s="3" t="s">
        <v>666</v>
      </c>
      <c r="Z61" s="3" t="s">
        <v>667</v>
      </c>
      <c r="AA61" s="3" t="s">
        <v>96</v>
      </c>
      <c r="AB61" s="3">
        <v>23</v>
      </c>
      <c r="AC61" s="3">
        <f t="shared" si="3"/>
        <v>0</v>
      </c>
      <c r="AD61" s="3">
        <f t="shared" si="4"/>
        <v>1</v>
      </c>
      <c r="AH61" s="3" t="s">
        <v>178</v>
      </c>
      <c r="AI61" s="3">
        <f t="shared" si="5"/>
        <v>1</v>
      </c>
      <c r="AJ61" s="3" t="str">
        <f ca="1">IFERROR(_xludf.MINIFS($P$2:$P$175,$A$2:$A$175,$A61,$C$2:$C$175,$C61,$AC$2:$AC$175,1),"")</f>
        <v/>
      </c>
    </row>
    <row r="62" spans="1:36" x14ac:dyDescent="0.2">
      <c r="A62" s="3" t="s">
        <v>668</v>
      </c>
      <c r="B62" s="3" t="s">
        <v>669</v>
      </c>
      <c r="C62" s="3" t="s">
        <v>641</v>
      </c>
      <c r="D62" s="3" t="s">
        <v>670</v>
      </c>
      <c r="E62" s="3" t="s">
        <v>671</v>
      </c>
      <c r="F62" s="3" t="s">
        <v>167</v>
      </c>
      <c r="G62" s="3" t="s">
        <v>612</v>
      </c>
      <c r="H62" s="3" t="s">
        <v>457</v>
      </c>
      <c r="I62" s="3" t="s">
        <v>80</v>
      </c>
      <c r="J62" s="3" t="s">
        <v>81</v>
      </c>
      <c r="K62" s="3" t="s">
        <v>642</v>
      </c>
      <c r="L62" s="3" t="s">
        <v>643</v>
      </c>
      <c r="M62" s="3" t="s">
        <v>133</v>
      </c>
      <c r="N62" s="3" t="s">
        <v>134</v>
      </c>
      <c r="O62" s="3" t="s">
        <v>104</v>
      </c>
      <c r="P62" s="3">
        <v>2019</v>
      </c>
      <c r="Q62" s="3" t="s">
        <v>672</v>
      </c>
      <c r="R62" s="3" t="s">
        <v>88</v>
      </c>
      <c r="S62" s="3" t="s">
        <v>673</v>
      </c>
      <c r="T62" s="3" t="s">
        <v>90</v>
      </c>
      <c r="U62" s="3" t="s">
        <v>222</v>
      </c>
      <c r="V62" s="3" t="s">
        <v>674</v>
      </c>
      <c r="W62" s="3" t="s">
        <v>675</v>
      </c>
      <c r="X62" s="3" t="s">
        <v>619</v>
      </c>
      <c r="Y62" s="3" t="s">
        <v>676</v>
      </c>
      <c r="Z62" s="3" t="s">
        <v>677</v>
      </c>
      <c r="AA62" s="3" t="s">
        <v>96</v>
      </c>
      <c r="AB62" s="3">
        <v>24</v>
      </c>
      <c r="AC62" s="3">
        <f t="shared" si="3"/>
        <v>1</v>
      </c>
      <c r="AD62" s="3">
        <f t="shared" si="4"/>
        <v>1</v>
      </c>
      <c r="AG62" s="20" t="s">
        <v>650</v>
      </c>
      <c r="AH62" s="3" t="s">
        <v>178</v>
      </c>
      <c r="AI62" s="3">
        <f t="shared" si="5"/>
        <v>1</v>
      </c>
      <c r="AJ62" s="3" t="str">
        <f ca="1">IFERROR(_xludf.MINIFS($P$2:$P$175,$A$2:$A$175,$A62,$C$2:$C$175,$C62,$AC$2:$AC$175,1),"")</f>
        <v/>
      </c>
    </row>
    <row r="63" spans="1:36" x14ac:dyDescent="0.2">
      <c r="A63" s="3" t="s">
        <v>668</v>
      </c>
      <c r="B63" s="3" t="s">
        <v>669</v>
      </c>
      <c r="C63" s="3" t="s">
        <v>641</v>
      </c>
      <c r="D63" s="3" t="s">
        <v>670</v>
      </c>
      <c r="E63" s="3" t="s">
        <v>671</v>
      </c>
      <c r="F63" s="3" t="s">
        <v>167</v>
      </c>
      <c r="G63" s="3" t="s">
        <v>612</v>
      </c>
      <c r="H63" s="3" t="s">
        <v>457</v>
      </c>
      <c r="I63" s="3" t="s">
        <v>99</v>
      </c>
      <c r="J63" s="3" t="s">
        <v>81</v>
      </c>
      <c r="K63" s="3" t="s">
        <v>678</v>
      </c>
      <c r="L63" s="3" t="s">
        <v>679</v>
      </c>
      <c r="M63" s="3" t="s">
        <v>84</v>
      </c>
      <c r="N63" s="3" t="s">
        <v>85</v>
      </c>
      <c r="O63" s="3" t="s">
        <v>135</v>
      </c>
      <c r="P63" s="3">
        <v>2020</v>
      </c>
      <c r="Q63" s="3" t="s">
        <v>680</v>
      </c>
      <c r="R63" s="3" t="s">
        <v>170</v>
      </c>
      <c r="S63" s="3" t="s">
        <v>681</v>
      </c>
      <c r="T63" s="3" t="s">
        <v>90</v>
      </c>
      <c r="U63" s="3" t="s">
        <v>396</v>
      </c>
      <c r="V63" s="3" t="s">
        <v>682</v>
      </c>
      <c r="W63" s="3" t="s">
        <v>683</v>
      </c>
      <c r="X63" s="3" t="s">
        <v>262</v>
      </c>
      <c r="Y63" s="3" t="s">
        <v>684</v>
      </c>
      <c r="Z63" s="3" t="s">
        <v>685</v>
      </c>
      <c r="AA63" s="3" t="s">
        <v>96</v>
      </c>
      <c r="AB63" s="3">
        <v>24</v>
      </c>
      <c r="AC63" s="3">
        <f t="shared" si="3"/>
        <v>0</v>
      </c>
      <c r="AD63" s="3">
        <f t="shared" si="4"/>
        <v>1</v>
      </c>
      <c r="AH63" s="3" t="s">
        <v>178</v>
      </c>
      <c r="AI63" s="3">
        <f t="shared" si="5"/>
        <v>1</v>
      </c>
      <c r="AJ63" s="3" t="str">
        <f ca="1">IFERROR(_xludf.MINIFS($P$2:$P$175,$A$2:$A$175,$A63,$C$2:$C$175,$C63,$AC$2:$AC$175,1),"")</f>
        <v/>
      </c>
    </row>
    <row r="64" spans="1:36" x14ac:dyDescent="0.2">
      <c r="A64" s="3" t="s">
        <v>668</v>
      </c>
      <c r="B64" s="3" t="s">
        <v>669</v>
      </c>
      <c r="C64" s="3" t="s">
        <v>641</v>
      </c>
      <c r="D64" s="3" t="s">
        <v>670</v>
      </c>
      <c r="E64" s="3" t="s">
        <v>671</v>
      </c>
      <c r="F64" s="3" t="s">
        <v>167</v>
      </c>
      <c r="G64" s="3" t="s">
        <v>612</v>
      </c>
      <c r="H64" s="3" t="s">
        <v>457</v>
      </c>
      <c r="I64" s="3" t="s">
        <v>113</v>
      </c>
      <c r="J64" s="3" t="s">
        <v>215</v>
      </c>
      <c r="K64" s="3" t="s">
        <v>686</v>
      </c>
      <c r="L64" s="3" t="s">
        <v>687</v>
      </c>
      <c r="M64" s="3" t="s">
        <v>218</v>
      </c>
      <c r="N64" s="3" t="s">
        <v>85</v>
      </c>
      <c r="O64" s="3" t="s">
        <v>104</v>
      </c>
      <c r="P64" s="3"/>
      <c r="Q64" s="3" t="s">
        <v>625</v>
      </c>
      <c r="R64" s="3" t="s">
        <v>88</v>
      </c>
      <c r="S64" s="3" t="s">
        <v>688</v>
      </c>
      <c r="T64" s="3" t="s">
        <v>90</v>
      </c>
      <c r="U64" s="3" t="s">
        <v>347</v>
      </c>
      <c r="V64" s="3" t="s">
        <v>625</v>
      </c>
      <c r="W64" s="3" t="s">
        <v>689</v>
      </c>
      <c r="X64" s="3" t="s">
        <v>625</v>
      </c>
      <c r="Y64" s="3" t="s">
        <v>690</v>
      </c>
      <c r="Z64" s="3"/>
      <c r="AA64" s="3" t="s">
        <v>96</v>
      </c>
      <c r="AB64" s="3">
        <v>24</v>
      </c>
      <c r="AC64" s="3">
        <f t="shared" si="3"/>
        <v>0</v>
      </c>
      <c r="AD64" s="3">
        <f t="shared" si="4"/>
        <v>0</v>
      </c>
      <c r="AH64" s="3" t="s">
        <v>178</v>
      </c>
      <c r="AI64" s="3">
        <f t="shared" si="5"/>
        <v>1</v>
      </c>
      <c r="AJ64" s="3" t="str">
        <f ca="1">IFERROR(_xludf.MINIFS($P$2:$P$175,$A$2:$A$175,$A64,$C$2:$C$175,$C64,$AC$2:$AC$175,1),"")</f>
        <v/>
      </c>
    </row>
    <row r="65" spans="1:36" x14ac:dyDescent="0.2">
      <c r="A65" s="3" t="s">
        <v>691</v>
      </c>
      <c r="B65" s="3" t="s">
        <v>692</v>
      </c>
      <c r="C65" s="3" t="s">
        <v>693</v>
      </c>
      <c r="D65" s="3" t="s">
        <v>345</v>
      </c>
      <c r="E65" s="3" t="s">
        <v>345</v>
      </c>
      <c r="F65" s="3" t="s">
        <v>694</v>
      </c>
      <c r="G65" s="3" t="s">
        <v>612</v>
      </c>
      <c r="H65" s="3" t="s">
        <v>457</v>
      </c>
      <c r="I65" s="3" t="s">
        <v>80</v>
      </c>
      <c r="J65" s="3" t="s">
        <v>81</v>
      </c>
      <c r="K65" s="3" t="s">
        <v>695</v>
      </c>
      <c r="L65" s="3" t="s">
        <v>696</v>
      </c>
      <c r="M65" s="3" t="s">
        <v>133</v>
      </c>
      <c r="N65" s="3" t="s">
        <v>134</v>
      </c>
      <c r="O65" s="3" t="s">
        <v>104</v>
      </c>
      <c r="P65" s="3">
        <v>2021</v>
      </c>
      <c r="Q65" s="3" t="s">
        <v>697</v>
      </c>
      <c r="R65" s="3" t="s">
        <v>170</v>
      </c>
      <c r="S65" s="3" t="s">
        <v>698</v>
      </c>
      <c r="T65" s="3" t="s">
        <v>90</v>
      </c>
      <c r="U65" s="3" t="s">
        <v>329</v>
      </c>
      <c r="V65" s="3" t="s">
        <v>674</v>
      </c>
      <c r="W65" s="3" t="s">
        <v>699</v>
      </c>
      <c r="X65" s="3" t="s">
        <v>700</v>
      </c>
      <c r="Y65" s="3" t="s">
        <v>701</v>
      </c>
      <c r="Z65" s="3" t="s">
        <v>702</v>
      </c>
      <c r="AA65" s="3" t="s">
        <v>96</v>
      </c>
      <c r="AB65" s="3">
        <v>25</v>
      </c>
      <c r="AC65" s="3">
        <f t="shared" si="3"/>
        <v>1</v>
      </c>
      <c r="AD65" s="3">
        <f t="shared" si="4"/>
        <v>1</v>
      </c>
      <c r="AG65" s="20" t="s">
        <v>650</v>
      </c>
      <c r="AH65" s="3" t="s">
        <v>129</v>
      </c>
      <c r="AI65" s="3">
        <f t="shared" si="5"/>
        <v>1</v>
      </c>
      <c r="AJ65" s="3" t="str">
        <f ca="1">IFERROR(_xludf.MINIFS($P$2:$P$175,$A$2:$A$175,$A65,$C$2:$C$175,$C65,$AC$2:$AC$175,1),"")</f>
        <v/>
      </c>
    </row>
    <row r="66" spans="1:36" x14ac:dyDescent="0.2">
      <c r="A66" s="3" t="s">
        <v>691</v>
      </c>
      <c r="B66" s="3" t="s">
        <v>692</v>
      </c>
      <c r="C66" s="3" t="s">
        <v>693</v>
      </c>
      <c r="D66" s="3" t="s">
        <v>345</v>
      </c>
      <c r="E66" s="3" t="s">
        <v>345</v>
      </c>
      <c r="F66" s="3" t="s">
        <v>694</v>
      </c>
      <c r="G66" s="3" t="s">
        <v>612</v>
      </c>
      <c r="H66" s="3" t="s">
        <v>457</v>
      </c>
      <c r="I66" s="3" t="s">
        <v>99</v>
      </c>
      <c r="J66" s="3" t="s">
        <v>215</v>
      </c>
      <c r="K66" s="3" t="s">
        <v>703</v>
      </c>
      <c r="L66" s="3" t="s">
        <v>704</v>
      </c>
      <c r="M66" s="3" t="s">
        <v>133</v>
      </c>
      <c r="N66" s="3" t="s">
        <v>134</v>
      </c>
      <c r="O66" s="3" t="s">
        <v>86</v>
      </c>
      <c r="P66" s="3">
        <v>2021</v>
      </c>
      <c r="Q66" s="3" t="s">
        <v>705</v>
      </c>
      <c r="R66" s="3" t="s">
        <v>170</v>
      </c>
      <c r="S66" s="3" t="s">
        <v>706</v>
      </c>
      <c r="T66" s="3" t="s">
        <v>90</v>
      </c>
      <c r="U66" s="3" t="s">
        <v>365</v>
      </c>
      <c r="V66" s="3" t="s">
        <v>707</v>
      </c>
      <c r="W66" s="3" t="s">
        <v>708</v>
      </c>
      <c r="X66" s="3" t="s">
        <v>709</v>
      </c>
      <c r="Y66" s="3" t="s">
        <v>710</v>
      </c>
      <c r="Z66" s="3" t="s">
        <v>711</v>
      </c>
      <c r="AA66" s="3" t="s">
        <v>96</v>
      </c>
      <c r="AB66" s="3">
        <v>25</v>
      </c>
      <c r="AC66" s="3">
        <f t="shared" ref="AC66:AC97" si="6">IF(OR($M66="Positive",$M66="Restricted Positive"),1,0)</f>
        <v>1</v>
      </c>
      <c r="AD66" s="3">
        <f t="shared" ref="AD66:AD97" si="7">IF($M66="Not Evaluated",0,1)</f>
        <v>1</v>
      </c>
      <c r="AH66" s="3" t="s">
        <v>129</v>
      </c>
      <c r="AI66" s="3">
        <f t="shared" ref="AI66:AI97" si="8">IF(COUNTIFS($A$2:$A$175,$A66,$C$2:$C$175,$C66,$AC$2:$AC$175,1)&gt;0,1,0)</f>
        <v>1</v>
      </c>
      <c r="AJ66" s="3" t="str">
        <f ca="1">IFERROR(_xludf.MINIFS($P$2:$P$175,$A$2:$A$175,$A66,$C$2:$C$175,$C66,$AC$2:$AC$175,1),"")</f>
        <v/>
      </c>
    </row>
    <row r="67" spans="1:36" x14ac:dyDescent="0.2">
      <c r="A67" s="3" t="s">
        <v>691</v>
      </c>
      <c r="B67" s="3" t="s">
        <v>692</v>
      </c>
      <c r="C67" s="3" t="s">
        <v>693</v>
      </c>
      <c r="D67" s="3" t="s">
        <v>345</v>
      </c>
      <c r="E67" s="3" t="s">
        <v>345</v>
      </c>
      <c r="F67" s="3" t="s">
        <v>694</v>
      </c>
      <c r="G67" s="3" t="s">
        <v>612</v>
      </c>
      <c r="H67" s="3" t="s">
        <v>457</v>
      </c>
      <c r="I67" s="3" t="s">
        <v>113</v>
      </c>
      <c r="J67" s="3" t="s">
        <v>130</v>
      </c>
      <c r="K67" s="3" t="s">
        <v>712</v>
      </c>
      <c r="L67" s="3" t="s">
        <v>713</v>
      </c>
      <c r="M67" s="3" t="s">
        <v>102</v>
      </c>
      <c r="N67" s="3" t="s">
        <v>103</v>
      </c>
      <c r="O67" s="3" t="s">
        <v>104</v>
      </c>
      <c r="P67" s="3">
        <v>2022</v>
      </c>
      <c r="Q67" s="3" t="s">
        <v>714</v>
      </c>
      <c r="R67" s="3" t="s">
        <v>170</v>
      </c>
      <c r="S67" s="3" t="s">
        <v>715</v>
      </c>
      <c r="T67" s="3" t="s">
        <v>90</v>
      </c>
      <c r="U67" s="3" t="s">
        <v>396</v>
      </c>
      <c r="V67" s="3" t="s">
        <v>716</v>
      </c>
      <c r="W67" s="3" t="s">
        <v>717</v>
      </c>
      <c r="X67" s="3" t="s">
        <v>718</v>
      </c>
      <c r="Y67" s="3" t="s">
        <v>719</v>
      </c>
      <c r="Z67" s="3" t="s">
        <v>720</v>
      </c>
      <c r="AA67" s="3" t="s">
        <v>96</v>
      </c>
      <c r="AB67" s="3">
        <v>25</v>
      </c>
      <c r="AC67" s="3">
        <f t="shared" si="6"/>
        <v>1</v>
      </c>
      <c r="AD67" s="3">
        <f t="shared" si="7"/>
        <v>1</v>
      </c>
      <c r="AH67" s="3" t="s">
        <v>129</v>
      </c>
      <c r="AI67" s="3">
        <f t="shared" si="8"/>
        <v>1</v>
      </c>
      <c r="AJ67" s="3" t="str">
        <f ca="1">IFERROR(_xludf.MINIFS($P$2:$P$175,$A$2:$A$175,$A67,$C$2:$C$175,$C67,$AC$2:$AC$175,1),"")</f>
        <v/>
      </c>
    </row>
    <row r="68" spans="1:36" x14ac:dyDescent="0.2">
      <c r="A68" s="3" t="s">
        <v>721</v>
      </c>
      <c r="B68" s="3" t="s">
        <v>722</v>
      </c>
      <c r="C68" s="3" t="s">
        <v>723</v>
      </c>
      <c r="D68" s="3" t="s">
        <v>724</v>
      </c>
      <c r="E68" s="3" t="s">
        <v>610</v>
      </c>
      <c r="F68" s="3" t="s">
        <v>611</v>
      </c>
      <c r="G68" s="3" t="s">
        <v>725</v>
      </c>
      <c r="H68" s="3" t="s">
        <v>79</v>
      </c>
      <c r="I68" s="3" t="s">
        <v>80</v>
      </c>
      <c r="J68" s="3" t="s">
        <v>215</v>
      </c>
      <c r="K68" s="3" t="s">
        <v>726</v>
      </c>
      <c r="L68" s="3" t="s">
        <v>727</v>
      </c>
      <c r="M68" s="3" t="s">
        <v>133</v>
      </c>
      <c r="N68" s="3" t="s">
        <v>134</v>
      </c>
      <c r="O68" s="3" t="s">
        <v>86</v>
      </c>
      <c r="P68" s="3">
        <v>2025</v>
      </c>
      <c r="Q68" s="3" t="s">
        <v>728</v>
      </c>
      <c r="R68" s="3" t="s">
        <v>244</v>
      </c>
      <c r="S68" s="3" t="s">
        <v>729</v>
      </c>
      <c r="T68" s="3" t="s">
        <v>90</v>
      </c>
      <c r="U68" s="3" t="s">
        <v>107</v>
      </c>
      <c r="V68" s="3" t="s">
        <v>730</v>
      </c>
      <c r="W68" s="3" t="s">
        <v>731</v>
      </c>
      <c r="X68" s="3" t="s">
        <v>732</v>
      </c>
      <c r="Y68" s="3" t="s">
        <v>733</v>
      </c>
      <c r="Z68" s="3" t="s">
        <v>734</v>
      </c>
      <c r="AA68" s="3" t="s">
        <v>96</v>
      </c>
      <c r="AB68" s="3">
        <v>26</v>
      </c>
      <c r="AC68" s="3">
        <f t="shared" si="6"/>
        <v>1</v>
      </c>
      <c r="AD68" s="3">
        <f t="shared" si="7"/>
        <v>1</v>
      </c>
      <c r="AG68" s="20" t="s">
        <v>735</v>
      </c>
      <c r="AH68" s="3" t="s">
        <v>178</v>
      </c>
      <c r="AI68" s="3">
        <f t="shared" si="8"/>
        <v>1</v>
      </c>
      <c r="AJ68" s="3" t="str">
        <f ca="1">IFERROR(_xludf.MINIFS($P$2:$P$175,$A$2:$A$175,$A68,$C$2:$C$175,$C68,$AC$2:$AC$175,1),"")</f>
        <v/>
      </c>
    </row>
    <row r="69" spans="1:36" x14ac:dyDescent="0.2">
      <c r="A69" s="3" t="s">
        <v>721</v>
      </c>
      <c r="B69" s="3" t="s">
        <v>722</v>
      </c>
      <c r="C69" s="3" t="s">
        <v>723</v>
      </c>
      <c r="D69" s="3" t="s">
        <v>724</v>
      </c>
      <c r="E69" s="3" t="s">
        <v>610</v>
      </c>
      <c r="F69" s="3" t="s">
        <v>611</v>
      </c>
      <c r="G69" s="3" t="s">
        <v>725</v>
      </c>
      <c r="H69" s="3" t="s">
        <v>79</v>
      </c>
      <c r="I69" s="3" t="s">
        <v>99</v>
      </c>
      <c r="J69" s="3" t="s">
        <v>252</v>
      </c>
      <c r="K69" s="3" t="s">
        <v>736</v>
      </c>
      <c r="L69" s="3" t="s">
        <v>736</v>
      </c>
      <c r="M69" s="3" t="s">
        <v>218</v>
      </c>
      <c r="N69" s="3" t="s">
        <v>85</v>
      </c>
      <c r="O69" s="3" t="s">
        <v>104</v>
      </c>
      <c r="P69" s="3"/>
      <c r="Q69" s="3" t="s">
        <v>736</v>
      </c>
      <c r="R69" s="3" t="s">
        <v>221</v>
      </c>
      <c r="S69" s="3" t="s">
        <v>736</v>
      </c>
      <c r="T69" s="3" t="s">
        <v>90</v>
      </c>
      <c r="U69" s="3" t="s">
        <v>222</v>
      </c>
      <c r="V69" s="3" t="s">
        <v>736</v>
      </c>
      <c r="W69" s="3" t="s">
        <v>736</v>
      </c>
      <c r="X69" s="3" t="s">
        <v>736</v>
      </c>
      <c r="Y69" s="3" t="s">
        <v>736</v>
      </c>
      <c r="Z69" s="3" t="s">
        <v>736</v>
      </c>
      <c r="AA69" s="3" t="s">
        <v>96</v>
      </c>
      <c r="AB69" s="3">
        <v>26</v>
      </c>
      <c r="AC69" s="3">
        <f t="shared" si="6"/>
        <v>0</v>
      </c>
      <c r="AD69" s="3">
        <f t="shared" si="7"/>
        <v>0</v>
      </c>
      <c r="AH69" s="3" t="s">
        <v>178</v>
      </c>
      <c r="AI69" s="3">
        <f t="shared" si="8"/>
        <v>1</v>
      </c>
      <c r="AJ69" s="3" t="str">
        <f ca="1">IFERROR(_xludf.MINIFS($P$2:$P$175,$A$2:$A$175,$A69,$C$2:$C$175,$C69,$AC$2:$AC$175,1),"")</f>
        <v/>
      </c>
    </row>
    <row r="70" spans="1:36" x14ac:dyDescent="0.2">
      <c r="A70" s="3" t="s">
        <v>721</v>
      </c>
      <c r="B70" s="3" t="s">
        <v>722</v>
      </c>
      <c r="C70" s="3" t="s">
        <v>723</v>
      </c>
      <c r="D70" s="3" t="s">
        <v>724</v>
      </c>
      <c r="E70" s="3" t="s">
        <v>610</v>
      </c>
      <c r="F70" s="3" t="s">
        <v>611</v>
      </c>
      <c r="G70" s="3" t="s">
        <v>725</v>
      </c>
      <c r="H70" s="3" t="s">
        <v>79</v>
      </c>
      <c r="I70" s="3" t="s">
        <v>113</v>
      </c>
      <c r="J70" s="3" t="s">
        <v>114</v>
      </c>
      <c r="K70" s="3" t="s">
        <v>737</v>
      </c>
      <c r="L70" s="3" t="s">
        <v>738</v>
      </c>
      <c r="M70" s="3" t="s">
        <v>218</v>
      </c>
      <c r="N70" s="3" t="s">
        <v>85</v>
      </c>
      <c r="O70" s="3" t="s">
        <v>219</v>
      </c>
      <c r="P70" s="3">
        <v>2023</v>
      </c>
      <c r="Q70" s="3" t="s">
        <v>739</v>
      </c>
      <c r="R70" s="3" t="s">
        <v>170</v>
      </c>
      <c r="S70" s="3" t="s">
        <v>171</v>
      </c>
      <c r="T70" s="3" t="s">
        <v>90</v>
      </c>
      <c r="U70" s="3" t="s">
        <v>740</v>
      </c>
      <c r="V70" s="3" t="s">
        <v>741</v>
      </c>
      <c r="W70" s="3" t="s">
        <v>742</v>
      </c>
      <c r="X70" s="3" t="s">
        <v>743</v>
      </c>
      <c r="Y70" s="3" t="s">
        <v>744</v>
      </c>
      <c r="Z70" s="3" t="s">
        <v>745</v>
      </c>
      <c r="AA70" s="3" t="s">
        <v>96</v>
      </c>
      <c r="AB70" s="3">
        <v>26</v>
      </c>
      <c r="AC70" s="3">
        <f t="shared" si="6"/>
        <v>0</v>
      </c>
      <c r="AD70" s="3">
        <f t="shared" si="7"/>
        <v>0</v>
      </c>
      <c r="AH70" s="3" t="s">
        <v>178</v>
      </c>
      <c r="AI70" s="3">
        <f t="shared" si="8"/>
        <v>1</v>
      </c>
      <c r="AJ70" s="3" t="str">
        <f ca="1">IFERROR(_xludf.MINIFS($P$2:$P$175,$A$2:$A$175,$A70,$C$2:$C$175,$C70,$AC$2:$AC$175,1),"")</f>
        <v/>
      </c>
    </row>
    <row r="71" spans="1:36" x14ac:dyDescent="0.2">
      <c r="A71" s="3" t="s">
        <v>746</v>
      </c>
      <c r="B71" s="3" t="s">
        <v>747</v>
      </c>
      <c r="C71" s="3" t="s">
        <v>748</v>
      </c>
      <c r="D71" s="3" t="s">
        <v>749</v>
      </c>
      <c r="E71" s="3" t="s">
        <v>202</v>
      </c>
      <c r="F71" s="3" t="s">
        <v>324</v>
      </c>
      <c r="G71" s="3" t="s">
        <v>750</v>
      </c>
      <c r="H71" s="3" t="s">
        <v>260</v>
      </c>
      <c r="I71" s="3" t="s">
        <v>80</v>
      </c>
      <c r="J71" s="3" t="s">
        <v>215</v>
      </c>
      <c r="K71" s="3" t="s">
        <v>751</v>
      </c>
      <c r="L71" s="3" t="s">
        <v>134</v>
      </c>
      <c r="M71" s="3" t="s">
        <v>133</v>
      </c>
      <c r="N71" s="3" t="s">
        <v>134</v>
      </c>
      <c r="O71" s="3" t="s">
        <v>104</v>
      </c>
      <c r="P71" s="3">
        <v>2019</v>
      </c>
      <c r="Q71" s="3" t="s">
        <v>752</v>
      </c>
      <c r="R71" s="3" t="s">
        <v>264</v>
      </c>
      <c r="S71" s="3" t="s">
        <v>753</v>
      </c>
      <c r="T71" s="3" t="s">
        <v>90</v>
      </c>
      <c r="U71" s="3" t="s">
        <v>107</v>
      </c>
      <c r="V71" s="3" t="s">
        <v>754</v>
      </c>
      <c r="W71" s="3" t="s">
        <v>755</v>
      </c>
      <c r="X71" s="3" t="s">
        <v>756</v>
      </c>
      <c r="Y71" s="3" t="s">
        <v>757</v>
      </c>
      <c r="Z71" s="3" t="s">
        <v>758</v>
      </c>
      <c r="AA71" s="3" t="s">
        <v>96</v>
      </c>
      <c r="AB71" s="3">
        <v>27</v>
      </c>
      <c r="AC71" s="3">
        <f t="shared" si="6"/>
        <v>1</v>
      </c>
      <c r="AD71" s="3">
        <f t="shared" si="7"/>
        <v>1</v>
      </c>
      <c r="AE71" s="19">
        <v>12000000</v>
      </c>
      <c r="AF71" s="19">
        <v>12000000</v>
      </c>
      <c r="AG71" s="20" t="s">
        <v>759</v>
      </c>
      <c r="AH71" s="3" t="s">
        <v>324</v>
      </c>
      <c r="AI71" s="3">
        <f t="shared" si="8"/>
        <v>1</v>
      </c>
      <c r="AJ71" s="3" t="str">
        <f ca="1">IFERROR(_xludf.MINIFS($P$2:$P$175,$A$2:$A$175,$A71,$C$2:$C$175,$C71,$AC$2:$AC$175,1),"")</f>
        <v/>
      </c>
    </row>
    <row r="72" spans="1:36" x14ac:dyDescent="0.2">
      <c r="A72" s="3" t="s">
        <v>746</v>
      </c>
      <c r="B72" s="3" t="s">
        <v>747</v>
      </c>
      <c r="C72" s="3" t="s">
        <v>748</v>
      </c>
      <c r="D72" s="3" t="s">
        <v>749</v>
      </c>
      <c r="E72" s="3" t="s">
        <v>202</v>
      </c>
      <c r="F72" s="3" t="s">
        <v>324</v>
      </c>
      <c r="G72" s="3" t="s">
        <v>750</v>
      </c>
      <c r="H72" s="3" t="s">
        <v>260</v>
      </c>
      <c r="I72" s="3" t="s">
        <v>99</v>
      </c>
      <c r="J72" s="3" t="s">
        <v>81</v>
      </c>
      <c r="K72" s="3" t="s">
        <v>760</v>
      </c>
      <c r="L72" s="3" t="s">
        <v>134</v>
      </c>
      <c r="M72" s="3" t="s">
        <v>133</v>
      </c>
      <c r="N72" s="3" t="s">
        <v>134</v>
      </c>
      <c r="O72" s="3" t="s">
        <v>104</v>
      </c>
      <c r="P72" s="3">
        <v>2019</v>
      </c>
      <c r="Q72" s="3" t="s">
        <v>761</v>
      </c>
      <c r="R72" s="3" t="s">
        <v>264</v>
      </c>
      <c r="S72" s="3" t="s">
        <v>762</v>
      </c>
      <c r="T72" s="3" t="s">
        <v>90</v>
      </c>
      <c r="U72" s="3" t="s">
        <v>107</v>
      </c>
      <c r="V72" s="3" t="s">
        <v>763</v>
      </c>
      <c r="W72" s="3" t="s">
        <v>764</v>
      </c>
      <c r="X72" s="3" t="s">
        <v>765</v>
      </c>
      <c r="Y72" s="3" t="s">
        <v>766</v>
      </c>
      <c r="Z72" s="3" t="s">
        <v>767</v>
      </c>
      <c r="AA72" s="3" t="s">
        <v>96</v>
      </c>
      <c r="AB72" s="3">
        <v>27</v>
      </c>
      <c r="AC72" s="3">
        <f t="shared" si="6"/>
        <v>1</v>
      </c>
      <c r="AD72" s="3">
        <f t="shared" si="7"/>
        <v>1</v>
      </c>
      <c r="AH72" s="3" t="s">
        <v>324</v>
      </c>
      <c r="AI72" s="3">
        <f t="shared" si="8"/>
        <v>1</v>
      </c>
      <c r="AJ72" s="3" t="str">
        <f ca="1">IFERROR(_xludf.MINIFS($P$2:$P$175,$A$2:$A$175,$A72,$C$2:$C$175,$C72,$AC$2:$AC$175,1),"")</f>
        <v/>
      </c>
    </row>
    <row r="73" spans="1:36" x14ac:dyDescent="0.2">
      <c r="A73" s="3" t="s">
        <v>746</v>
      </c>
      <c r="B73" s="3" t="s">
        <v>747</v>
      </c>
      <c r="C73" s="3" t="s">
        <v>748</v>
      </c>
      <c r="D73" s="3" t="s">
        <v>749</v>
      </c>
      <c r="E73" s="3" t="s">
        <v>202</v>
      </c>
      <c r="F73" s="3" t="s">
        <v>324</v>
      </c>
      <c r="G73" s="3" t="s">
        <v>750</v>
      </c>
      <c r="H73" s="3" t="s">
        <v>260</v>
      </c>
      <c r="I73" s="3" t="s">
        <v>113</v>
      </c>
      <c r="J73" s="3" t="s">
        <v>114</v>
      </c>
      <c r="K73" s="3" t="s">
        <v>768</v>
      </c>
      <c r="L73" s="3" t="s">
        <v>769</v>
      </c>
      <c r="M73" s="3" t="s">
        <v>133</v>
      </c>
      <c r="N73" s="3" t="s">
        <v>134</v>
      </c>
      <c r="O73" s="3" t="s">
        <v>86</v>
      </c>
      <c r="P73" s="3">
        <v>2019</v>
      </c>
      <c r="Q73" s="3" t="s">
        <v>770</v>
      </c>
      <c r="R73" s="3" t="s">
        <v>264</v>
      </c>
      <c r="S73" s="3" t="s">
        <v>771</v>
      </c>
      <c r="T73" s="3" t="s">
        <v>90</v>
      </c>
      <c r="U73" s="3" t="s">
        <v>740</v>
      </c>
      <c r="V73" s="3" t="s">
        <v>772</v>
      </c>
      <c r="W73" s="3" t="s">
        <v>773</v>
      </c>
      <c r="X73" s="3" t="s">
        <v>774</v>
      </c>
      <c r="Y73" s="3" t="s">
        <v>775</v>
      </c>
      <c r="Z73" s="3" t="s">
        <v>776</v>
      </c>
      <c r="AA73" s="3" t="s">
        <v>96</v>
      </c>
      <c r="AB73" s="3">
        <v>27</v>
      </c>
      <c r="AC73" s="3">
        <f t="shared" si="6"/>
        <v>1</v>
      </c>
      <c r="AD73" s="3">
        <f t="shared" si="7"/>
        <v>1</v>
      </c>
      <c r="AH73" s="3" t="s">
        <v>324</v>
      </c>
      <c r="AI73" s="3">
        <f t="shared" si="8"/>
        <v>1</v>
      </c>
      <c r="AJ73" s="3" t="str">
        <f ca="1">IFERROR(_xludf.MINIFS($P$2:$P$175,$A$2:$A$175,$A73,$C$2:$C$175,$C73,$AC$2:$AC$175,1),"")</f>
        <v/>
      </c>
    </row>
    <row r="74" spans="1:36" x14ac:dyDescent="0.2">
      <c r="A74" s="3" t="s">
        <v>777</v>
      </c>
      <c r="B74" s="3" t="s">
        <v>778</v>
      </c>
      <c r="C74" s="3" t="s">
        <v>779</v>
      </c>
      <c r="D74" s="3" t="s">
        <v>127</v>
      </c>
      <c r="E74" s="3" t="s">
        <v>128</v>
      </c>
      <c r="F74" s="3" t="s">
        <v>324</v>
      </c>
      <c r="G74" s="3" t="s">
        <v>780</v>
      </c>
      <c r="H74" s="3" t="s">
        <v>457</v>
      </c>
      <c r="I74" s="3" t="s">
        <v>80</v>
      </c>
      <c r="J74" s="3" t="s">
        <v>130</v>
      </c>
      <c r="K74" s="3" t="s">
        <v>781</v>
      </c>
      <c r="L74" s="3" t="s">
        <v>782</v>
      </c>
      <c r="M74" s="3" t="s">
        <v>363</v>
      </c>
      <c r="N74" s="3" t="s">
        <v>85</v>
      </c>
      <c r="O74" s="3" t="s">
        <v>104</v>
      </c>
      <c r="P74" s="3">
        <v>2022</v>
      </c>
      <c r="Q74" s="3" t="s">
        <v>783</v>
      </c>
      <c r="R74" s="3" t="s">
        <v>221</v>
      </c>
      <c r="S74" s="3" t="s">
        <v>736</v>
      </c>
      <c r="T74" s="3" t="s">
        <v>90</v>
      </c>
      <c r="U74" s="3" t="s">
        <v>396</v>
      </c>
      <c r="V74" s="3" t="s">
        <v>784</v>
      </c>
      <c r="W74" s="3" t="s">
        <v>785</v>
      </c>
      <c r="X74" s="3" t="s">
        <v>786</v>
      </c>
      <c r="Y74" s="3" t="s">
        <v>787</v>
      </c>
      <c r="Z74" s="3" t="s">
        <v>788</v>
      </c>
      <c r="AA74" s="3" t="s">
        <v>96</v>
      </c>
      <c r="AB74" s="3">
        <v>28</v>
      </c>
      <c r="AC74" s="3">
        <f t="shared" si="6"/>
        <v>0</v>
      </c>
      <c r="AD74" s="3">
        <f t="shared" si="7"/>
        <v>1</v>
      </c>
      <c r="AG74" s="20" t="s">
        <v>789</v>
      </c>
      <c r="AH74" s="3" t="s">
        <v>324</v>
      </c>
      <c r="AI74" s="3">
        <f t="shared" si="8"/>
        <v>0</v>
      </c>
      <c r="AJ74" s="3" t="str">
        <f ca="1">IFERROR(_xludf.MINIFS($P$2:$P$175,$A$2:$A$175,$A74,$C$2:$C$175,$C74,$AC$2:$AC$175,1),"")</f>
        <v/>
      </c>
    </row>
    <row r="75" spans="1:36" x14ac:dyDescent="0.2">
      <c r="A75" s="3" t="s">
        <v>777</v>
      </c>
      <c r="B75" s="3" t="s">
        <v>778</v>
      </c>
      <c r="C75" s="3" t="s">
        <v>779</v>
      </c>
      <c r="D75" s="3" t="s">
        <v>127</v>
      </c>
      <c r="E75" s="3" t="s">
        <v>128</v>
      </c>
      <c r="F75" s="3" t="s">
        <v>324</v>
      </c>
      <c r="G75" s="3" t="s">
        <v>780</v>
      </c>
      <c r="H75" s="3" t="s">
        <v>457</v>
      </c>
      <c r="I75" s="3" t="s">
        <v>99</v>
      </c>
      <c r="J75" s="3" t="s">
        <v>81</v>
      </c>
      <c r="K75" s="3" t="s">
        <v>760</v>
      </c>
      <c r="L75" s="3" t="s">
        <v>262</v>
      </c>
      <c r="M75" s="3" t="s">
        <v>84</v>
      </c>
      <c r="N75" s="3" t="s">
        <v>85</v>
      </c>
      <c r="O75" s="3" t="s">
        <v>135</v>
      </c>
      <c r="P75" s="3">
        <v>2022</v>
      </c>
      <c r="Q75" s="3" t="s">
        <v>790</v>
      </c>
      <c r="R75" s="3" t="s">
        <v>170</v>
      </c>
      <c r="S75" s="3" t="s">
        <v>791</v>
      </c>
      <c r="T75" s="3" t="s">
        <v>90</v>
      </c>
      <c r="U75" s="3" t="s">
        <v>396</v>
      </c>
      <c r="V75" s="3" t="s">
        <v>784</v>
      </c>
      <c r="W75" s="3" t="s">
        <v>792</v>
      </c>
      <c r="X75" s="3" t="s">
        <v>793</v>
      </c>
      <c r="Y75" s="3" t="s">
        <v>794</v>
      </c>
      <c r="Z75" s="3" t="s">
        <v>795</v>
      </c>
      <c r="AA75" s="3" t="s">
        <v>96</v>
      </c>
      <c r="AB75" s="3">
        <v>28</v>
      </c>
      <c r="AC75" s="3">
        <f t="shared" si="6"/>
        <v>0</v>
      </c>
      <c r="AD75" s="3">
        <f t="shared" si="7"/>
        <v>1</v>
      </c>
      <c r="AH75" s="3" t="s">
        <v>324</v>
      </c>
      <c r="AI75" s="3">
        <f t="shared" si="8"/>
        <v>0</v>
      </c>
      <c r="AJ75" s="3" t="str">
        <f ca="1">IFERROR(_xludf.MINIFS($P$2:$P$175,$A$2:$A$175,$A75,$C$2:$C$175,$C75,$AC$2:$AC$175,1),"")</f>
        <v/>
      </c>
    </row>
    <row r="76" spans="1:36" x14ac:dyDescent="0.2">
      <c r="A76" s="3" t="s">
        <v>777</v>
      </c>
      <c r="B76" s="3" t="s">
        <v>778</v>
      </c>
      <c r="C76" s="3" t="s">
        <v>779</v>
      </c>
      <c r="D76" s="3" t="s">
        <v>127</v>
      </c>
      <c r="E76" s="3" t="s">
        <v>128</v>
      </c>
      <c r="F76" s="3" t="s">
        <v>324</v>
      </c>
      <c r="G76" s="3" t="s">
        <v>780</v>
      </c>
      <c r="H76" s="3" t="s">
        <v>457</v>
      </c>
      <c r="I76" s="3" t="s">
        <v>113</v>
      </c>
      <c r="J76" s="3" t="s">
        <v>215</v>
      </c>
      <c r="K76" s="3" t="s">
        <v>796</v>
      </c>
      <c r="L76" s="3" t="s">
        <v>797</v>
      </c>
      <c r="M76" s="3" t="s">
        <v>84</v>
      </c>
      <c r="N76" s="3" t="s">
        <v>85</v>
      </c>
      <c r="O76" s="3" t="s">
        <v>135</v>
      </c>
      <c r="P76" s="3"/>
      <c r="Q76" s="3">
        <v>2021</v>
      </c>
      <c r="R76" s="3" t="s">
        <v>88</v>
      </c>
      <c r="S76" s="3" t="s">
        <v>798</v>
      </c>
      <c r="T76" s="3" t="s">
        <v>90</v>
      </c>
      <c r="U76" s="3" t="s">
        <v>107</v>
      </c>
      <c r="V76" s="3" t="s">
        <v>784</v>
      </c>
      <c r="W76" s="3" t="s">
        <v>799</v>
      </c>
      <c r="X76" s="3" t="s">
        <v>800</v>
      </c>
      <c r="Y76" s="3" t="s">
        <v>801</v>
      </c>
      <c r="Z76" s="3" t="s">
        <v>802</v>
      </c>
      <c r="AA76" s="3" t="s">
        <v>96</v>
      </c>
      <c r="AB76" s="3">
        <v>28</v>
      </c>
      <c r="AC76" s="3">
        <f t="shared" si="6"/>
        <v>0</v>
      </c>
      <c r="AD76" s="3">
        <f t="shared" si="7"/>
        <v>1</v>
      </c>
      <c r="AH76" s="3" t="s">
        <v>324</v>
      </c>
      <c r="AI76" s="3">
        <f t="shared" si="8"/>
        <v>0</v>
      </c>
      <c r="AJ76" s="3" t="str">
        <f ca="1">IFERROR(_xludf.MINIFS($P$2:$P$175,$A$2:$A$175,$A76,$C$2:$C$175,$C76,$AC$2:$AC$175,1),"")</f>
        <v/>
      </c>
    </row>
    <row r="77" spans="1:36" x14ac:dyDescent="0.2">
      <c r="A77" s="3" t="s">
        <v>803</v>
      </c>
      <c r="B77" s="3" t="s">
        <v>804</v>
      </c>
      <c r="C77" s="3" t="s">
        <v>805</v>
      </c>
      <c r="D77" s="3" t="s">
        <v>806</v>
      </c>
      <c r="E77" s="3" t="s">
        <v>806</v>
      </c>
      <c r="F77" s="3" t="s">
        <v>324</v>
      </c>
      <c r="G77" s="3" t="s">
        <v>780</v>
      </c>
      <c r="H77" s="3" t="s">
        <v>457</v>
      </c>
      <c r="I77" s="3" t="s">
        <v>80</v>
      </c>
      <c r="J77" s="3" t="s">
        <v>252</v>
      </c>
      <c r="K77" s="3" t="s">
        <v>807</v>
      </c>
      <c r="L77" s="3"/>
      <c r="M77" s="3" t="s">
        <v>218</v>
      </c>
      <c r="N77" s="3" t="s">
        <v>85</v>
      </c>
      <c r="O77" s="3" t="s">
        <v>104</v>
      </c>
      <c r="P77" s="3"/>
      <c r="Q77" s="3"/>
      <c r="R77" s="3" t="s">
        <v>221</v>
      </c>
      <c r="S77" s="3"/>
      <c r="T77" s="3" t="s">
        <v>90</v>
      </c>
      <c r="U77" s="3" t="s">
        <v>222</v>
      </c>
      <c r="V77" s="3"/>
      <c r="W77" s="3"/>
      <c r="X77" s="3"/>
      <c r="Y77" s="3"/>
      <c r="Z77" s="3"/>
      <c r="AA77" s="3" t="s">
        <v>96</v>
      </c>
      <c r="AB77" s="3">
        <v>29</v>
      </c>
      <c r="AC77" s="3">
        <f t="shared" si="6"/>
        <v>0</v>
      </c>
      <c r="AD77" s="3">
        <f t="shared" si="7"/>
        <v>0</v>
      </c>
      <c r="AG77" s="20" t="s">
        <v>808</v>
      </c>
      <c r="AH77" s="3" t="s">
        <v>324</v>
      </c>
      <c r="AI77" s="3">
        <f t="shared" si="8"/>
        <v>0</v>
      </c>
      <c r="AJ77" s="3" t="str">
        <f ca="1">IFERROR(_xludf.MINIFS($P$2:$P$175,$A$2:$A$175,$A77,$C$2:$C$175,$C77,$AC$2:$AC$175,1),"")</f>
        <v/>
      </c>
    </row>
    <row r="78" spans="1:36" x14ac:dyDescent="0.2">
      <c r="A78" s="3" t="s">
        <v>803</v>
      </c>
      <c r="B78" s="3" t="s">
        <v>804</v>
      </c>
      <c r="C78" s="3" t="s">
        <v>805</v>
      </c>
      <c r="D78" s="3" t="s">
        <v>806</v>
      </c>
      <c r="E78" s="3" t="s">
        <v>806</v>
      </c>
      <c r="F78" s="3" t="s">
        <v>324</v>
      </c>
      <c r="G78" s="3" t="s">
        <v>780</v>
      </c>
      <c r="H78" s="3" t="s">
        <v>457</v>
      </c>
      <c r="I78" s="3" t="s">
        <v>99</v>
      </c>
      <c r="J78" s="3" t="s">
        <v>81</v>
      </c>
      <c r="K78" s="3" t="s">
        <v>760</v>
      </c>
      <c r="L78" s="3" t="s">
        <v>262</v>
      </c>
      <c r="M78" s="3" t="s">
        <v>84</v>
      </c>
      <c r="N78" s="3" t="s">
        <v>85</v>
      </c>
      <c r="O78" s="3" t="s">
        <v>135</v>
      </c>
      <c r="P78" s="3">
        <v>2024</v>
      </c>
      <c r="Q78" s="3" t="s">
        <v>809</v>
      </c>
      <c r="R78" s="3" t="s">
        <v>88</v>
      </c>
      <c r="S78" s="3" t="s">
        <v>810</v>
      </c>
      <c r="T78" s="3" t="s">
        <v>90</v>
      </c>
      <c r="U78" s="3" t="s">
        <v>329</v>
      </c>
      <c r="V78" s="3" t="s">
        <v>784</v>
      </c>
      <c r="W78" s="3" t="s">
        <v>811</v>
      </c>
      <c r="X78" s="3" t="s">
        <v>812</v>
      </c>
      <c r="Y78" s="3" t="s">
        <v>813</v>
      </c>
      <c r="Z78" s="3" t="s">
        <v>814</v>
      </c>
      <c r="AA78" s="3" t="s">
        <v>96</v>
      </c>
      <c r="AB78" s="3">
        <v>29</v>
      </c>
      <c r="AC78" s="3">
        <f t="shared" si="6"/>
        <v>0</v>
      </c>
      <c r="AD78" s="3">
        <f t="shared" si="7"/>
        <v>1</v>
      </c>
      <c r="AH78" s="3" t="s">
        <v>324</v>
      </c>
      <c r="AI78" s="3">
        <f t="shared" si="8"/>
        <v>0</v>
      </c>
      <c r="AJ78" s="3" t="str">
        <f ca="1">IFERROR(_xludf.MINIFS($P$2:$P$175,$A$2:$A$175,$A78,$C$2:$C$175,$C78,$AC$2:$AC$175,1),"")</f>
        <v/>
      </c>
    </row>
    <row r="79" spans="1:36" x14ac:dyDescent="0.2">
      <c r="A79" s="3" t="s">
        <v>803</v>
      </c>
      <c r="B79" s="3" t="s">
        <v>804</v>
      </c>
      <c r="C79" s="3" t="s">
        <v>805</v>
      </c>
      <c r="D79" s="3" t="s">
        <v>806</v>
      </c>
      <c r="E79" s="3" t="s">
        <v>806</v>
      </c>
      <c r="F79" s="3" t="s">
        <v>324</v>
      </c>
      <c r="G79" s="3" t="s">
        <v>780</v>
      </c>
      <c r="H79" s="3" t="s">
        <v>457</v>
      </c>
      <c r="I79" s="3" t="s">
        <v>113</v>
      </c>
      <c r="J79" s="3" t="s">
        <v>130</v>
      </c>
      <c r="K79" s="3" t="s">
        <v>815</v>
      </c>
      <c r="L79" s="3" t="s">
        <v>797</v>
      </c>
      <c r="M79" s="3" t="s">
        <v>84</v>
      </c>
      <c r="N79" s="3" t="s">
        <v>85</v>
      </c>
      <c r="O79" s="3" t="s">
        <v>135</v>
      </c>
      <c r="P79" s="3">
        <v>2025</v>
      </c>
      <c r="Q79" s="3" t="s">
        <v>816</v>
      </c>
      <c r="R79" s="3" t="s">
        <v>88</v>
      </c>
      <c r="S79" s="3" t="s">
        <v>817</v>
      </c>
      <c r="T79" s="3" t="s">
        <v>90</v>
      </c>
      <c r="U79" s="3" t="s">
        <v>396</v>
      </c>
      <c r="V79" s="3" t="s">
        <v>818</v>
      </c>
      <c r="W79" s="3" t="s">
        <v>819</v>
      </c>
      <c r="X79" s="3" t="s">
        <v>812</v>
      </c>
      <c r="Y79" s="3" t="s">
        <v>820</v>
      </c>
      <c r="Z79" s="3" t="s">
        <v>821</v>
      </c>
      <c r="AA79" s="3" t="s">
        <v>96</v>
      </c>
      <c r="AB79" s="3">
        <v>29</v>
      </c>
      <c r="AC79" s="3">
        <f t="shared" si="6"/>
        <v>0</v>
      </c>
      <c r="AD79" s="3">
        <f t="shared" si="7"/>
        <v>1</v>
      </c>
      <c r="AH79" s="3" t="s">
        <v>324</v>
      </c>
      <c r="AI79" s="3">
        <f t="shared" si="8"/>
        <v>0</v>
      </c>
      <c r="AJ79" s="3" t="str">
        <f ca="1">IFERROR(_xludf.MINIFS($P$2:$P$175,$A$2:$A$175,$A79,$C$2:$C$175,$C79,$AC$2:$AC$175,1),"")</f>
        <v/>
      </c>
    </row>
    <row r="80" spans="1:36" x14ac:dyDescent="0.2">
      <c r="A80" s="3" t="s">
        <v>822</v>
      </c>
      <c r="B80" s="3" t="s">
        <v>823</v>
      </c>
      <c r="C80" s="3" t="s">
        <v>824</v>
      </c>
      <c r="D80" s="3" t="s">
        <v>825</v>
      </c>
      <c r="E80" s="3" t="s">
        <v>825</v>
      </c>
      <c r="F80" s="3" t="s">
        <v>324</v>
      </c>
      <c r="G80" s="3" t="s">
        <v>780</v>
      </c>
      <c r="H80" s="3" t="s">
        <v>457</v>
      </c>
      <c r="I80" s="3" t="s">
        <v>80</v>
      </c>
      <c r="J80" s="3" t="s">
        <v>215</v>
      </c>
      <c r="K80" s="3" t="s">
        <v>826</v>
      </c>
      <c r="L80" s="3" t="s">
        <v>827</v>
      </c>
      <c r="M80" s="3" t="s">
        <v>218</v>
      </c>
      <c r="N80" s="3" t="s">
        <v>85</v>
      </c>
      <c r="O80" s="3" t="s">
        <v>104</v>
      </c>
      <c r="P80" s="3">
        <v>2024</v>
      </c>
      <c r="Q80" s="3" t="s">
        <v>828</v>
      </c>
      <c r="R80" s="3" t="s">
        <v>264</v>
      </c>
      <c r="S80" s="3" t="s">
        <v>829</v>
      </c>
      <c r="T80" s="3" t="s">
        <v>90</v>
      </c>
      <c r="U80" s="3" t="s">
        <v>107</v>
      </c>
      <c r="V80" s="3" t="s">
        <v>830</v>
      </c>
      <c r="W80" s="3" t="s">
        <v>831</v>
      </c>
      <c r="X80" s="3" t="s">
        <v>832</v>
      </c>
      <c r="Y80" s="3" t="s">
        <v>833</v>
      </c>
      <c r="Z80" s="3" t="s">
        <v>834</v>
      </c>
      <c r="AA80" s="3" t="s">
        <v>96</v>
      </c>
      <c r="AB80" s="3">
        <v>30</v>
      </c>
      <c r="AC80" s="3">
        <f t="shared" si="6"/>
        <v>0</v>
      </c>
      <c r="AD80" s="3">
        <f t="shared" si="7"/>
        <v>0</v>
      </c>
      <c r="AG80" s="20" t="s">
        <v>808</v>
      </c>
      <c r="AH80" s="3" t="s">
        <v>324</v>
      </c>
      <c r="AI80" s="3">
        <f t="shared" si="8"/>
        <v>0</v>
      </c>
      <c r="AJ80" s="3" t="str">
        <f ca="1">IFERROR(_xludf.MINIFS($P$2:$P$175,$A$2:$A$175,$A80,$C$2:$C$175,$C80,$AC$2:$AC$175,1),"")</f>
        <v/>
      </c>
    </row>
    <row r="81" spans="1:36" x14ac:dyDescent="0.2">
      <c r="A81" s="3" t="s">
        <v>822</v>
      </c>
      <c r="B81" s="3" t="s">
        <v>823</v>
      </c>
      <c r="C81" s="3" t="s">
        <v>824</v>
      </c>
      <c r="D81" s="3" t="s">
        <v>825</v>
      </c>
      <c r="E81" s="3" t="s">
        <v>825</v>
      </c>
      <c r="F81" s="3" t="s">
        <v>324</v>
      </c>
      <c r="G81" s="3" t="s">
        <v>780</v>
      </c>
      <c r="H81" s="3" t="s">
        <v>457</v>
      </c>
      <c r="I81" s="3" t="s">
        <v>99</v>
      </c>
      <c r="J81" s="3" t="s">
        <v>215</v>
      </c>
      <c r="K81" s="3" t="s">
        <v>218</v>
      </c>
      <c r="L81" s="3" t="s">
        <v>835</v>
      </c>
      <c r="M81" s="3" t="s">
        <v>218</v>
      </c>
      <c r="N81" s="3" t="s">
        <v>85</v>
      </c>
      <c r="O81" s="3" t="s">
        <v>104</v>
      </c>
      <c r="P81" s="3"/>
      <c r="Q81" s="3"/>
      <c r="R81" s="3" t="s">
        <v>221</v>
      </c>
      <c r="S81" s="3"/>
      <c r="T81" s="3" t="s">
        <v>90</v>
      </c>
      <c r="U81" s="3" t="s">
        <v>836</v>
      </c>
      <c r="V81" s="3"/>
      <c r="W81" s="3"/>
      <c r="X81" s="3"/>
      <c r="Y81" s="3" t="s">
        <v>837</v>
      </c>
      <c r="Z81" s="3"/>
      <c r="AA81" s="3" t="s">
        <v>96</v>
      </c>
      <c r="AB81" s="3">
        <v>30</v>
      </c>
      <c r="AC81" s="3">
        <f t="shared" si="6"/>
        <v>0</v>
      </c>
      <c r="AD81" s="3">
        <f t="shared" si="7"/>
        <v>0</v>
      </c>
      <c r="AH81" s="3" t="s">
        <v>324</v>
      </c>
      <c r="AI81" s="3">
        <f t="shared" si="8"/>
        <v>0</v>
      </c>
      <c r="AJ81" s="3" t="str">
        <f ca="1">IFERROR(_xludf.MINIFS($P$2:$P$175,$A$2:$A$175,$A81,$C$2:$C$175,$C81,$AC$2:$AC$175,1),"")</f>
        <v/>
      </c>
    </row>
    <row r="82" spans="1:36" x14ac:dyDescent="0.2">
      <c r="A82" s="3" t="s">
        <v>822</v>
      </c>
      <c r="B82" s="3" t="s">
        <v>823</v>
      </c>
      <c r="C82" s="3" t="s">
        <v>824</v>
      </c>
      <c r="D82" s="3" t="s">
        <v>825</v>
      </c>
      <c r="E82" s="3" t="s">
        <v>825</v>
      </c>
      <c r="F82" s="3" t="s">
        <v>324</v>
      </c>
      <c r="G82" s="3" t="s">
        <v>780</v>
      </c>
      <c r="H82" s="3" t="s">
        <v>457</v>
      </c>
      <c r="I82" s="3" t="s">
        <v>113</v>
      </c>
      <c r="J82" s="3" t="s">
        <v>130</v>
      </c>
      <c r="K82" s="3" t="s">
        <v>838</v>
      </c>
      <c r="L82" s="3" t="s">
        <v>839</v>
      </c>
      <c r="M82" s="3" t="s">
        <v>218</v>
      </c>
      <c r="N82" s="3" t="s">
        <v>85</v>
      </c>
      <c r="O82" s="3" t="s">
        <v>104</v>
      </c>
      <c r="P82" s="3">
        <v>2022</v>
      </c>
      <c r="Q82" s="3" t="s">
        <v>840</v>
      </c>
      <c r="R82" s="3" t="s">
        <v>264</v>
      </c>
      <c r="S82" s="3" t="s">
        <v>841</v>
      </c>
      <c r="T82" s="3" t="s">
        <v>90</v>
      </c>
      <c r="U82" s="3" t="s">
        <v>842</v>
      </c>
      <c r="V82" s="3" t="s">
        <v>843</v>
      </c>
      <c r="W82" s="3" t="s">
        <v>844</v>
      </c>
      <c r="X82" s="3" t="s">
        <v>845</v>
      </c>
      <c r="Y82" s="3" t="s">
        <v>846</v>
      </c>
      <c r="Z82" s="3" t="s">
        <v>847</v>
      </c>
      <c r="AA82" s="3" t="s">
        <v>96</v>
      </c>
      <c r="AB82" s="3">
        <v>30</v>
      </c>
      <c r="AC82" s="3">
        <f t="shared" si="6"/>
        <v>0</v>
      </c>
      <c r="AD82" s="3">
        <f t="shared" si="7"/>
        <v>0</v>
      </c>
      <c r="AH82" s="3" t="s">
        <v>324</v>
      </c>
      <c r="AI82" s="3">
        <f t="shared" si="8"/>
        <v>0</v>
      </c>
      <c r="AJ82" s="3" t="str">
        <f ca="1">IFERROR(_xludf.MINIFS($P$2:$P$175,$A$2:$A$175,$A82,$C$2:$C$175,$C82,$AC$2:$AC$175,1),"")</f>
        <v/>
      </c>
    </row>
    <row r="83" spans="1:36" x14ac:dyDescent="0.2">
      <c r="A83" s="3" t="s">
        <v>848</v>
      </c>
      <c r="B83" s="3" t="s">
        <v>849</v>
      </c>
      <c r="C83" s="3" t="s">
        <v>805</v>
      </c>
      <c r="D83" s="3" t="s">
        <v>850</v>
      </c>
      <c r="E83" s="3" t="s">
        <v>825</v>
      </c>
      <c r="F83" s="3" t="s">
        <v>324</v>
      </c>
      <c r="G83" s="3" t="s">
        <v>780</v>
      </c>
      <c r="H83" s="3" t="s">
        <v>457</v>
      </c>
      <c r="I83" s="3" t="s">
        <v>80</v>
      </c>
      <c r="J83" s="3" t="s">
        <v>215</v>
      </c>
      <c r="K83" s="3" t="s">
        <v>851</v>
      </c>
      <c r="L83" s="3"/>
      <c r="M83" s="3" t="s">
        <v>218</v>
      </c>
      <c r="N83" s="3" t="s">
        <v>85</v>
      </c>
      <c r="O83" s="3" t="s">
        <v>104</v>
      </c>
      <c r="P83" s="3"/>
      <c r="Q83" s="3"/>
      <c r="R83" s="3" t="s">
        <v>221</v>
      </c>
      <c r="S83" s="3"/>
      <c r="T83" s="3" t="s">
        <v>90</v>
      </c>
      <c r="U83" s="3" t="s">
        <v>222</v>
      </c>
      <c r="V83" s="3"/>
      <c r="W83" s="3"/>
      <c r="X83" s="3"/>
      <c r="Y83" s="3"/>
      <c r="Z83" s="3"/>
      <c r="AA83" s="3" t="s">
        <v>96</v>
      </c>
      <c r="AB83" s="3">
        <v>31</v>
      </c>
      <c r="AC83" s="3">
        <f t="shared" si="6"/>
        <v>0</v>
      </c>
      <c r="AD83" s="3">
        <f t="shared" si="7"/>
        <v>0</v>
      </c>
      <c r="AG83" s="20" t="s">
        <v>808</v>
      </c>
      <c r="AH83" s="3" t="s">
        <v>324</v>
      </c>
      <c r="AI83" s="3">
        <f t="shared" si="8"/>
        <v>0</v>
      </c>
      <c r="AJ83" s="3" t="str">
        <f ca="1">IFERROR(_xludf.MINIFS($P$2:$P$175,$A$2:$A$175,$A83,$C$2:$C$175,$C83,$AC$2:$AC$175,1),"")</f>
        <v/>
      </c>
    </row>
    <row r="84" spans="1:36" x14ac:dyDescent="0.2">
      <c r="A84" s="3" t="s">
        <v>848</v>
      </c>
      <c r="B84" s="3" t="s">
        <v>849</v>
      </c>
      <c r="C84" s="3" t="s">
        <v>805</v>
      </c>
      <c r="D84" s="3" t="s">
        <v>850</v>
      </c>
      <c r="E84" s="3" t="s">
        <v>825</v>
      </c>
      <c r="F84" s="3" t="s">
        <v>324</v>
      </c>
      <c r="G84" s="3" t="s">
        <v>780</v>
      </c>
      <c r="H84" s="3" t="s">
        <v>457</v>
      </c>
      <c r="I84" s="3" t="s">
        <v>99</v>
      </c>
      <c r="J84" s="3" t="s">
        <v>81</v>
      </c>
      <c r="K84" s="3" t="s">
        <v>760</v>
      </c>
      <c r="L84" s="3" t="s">
        <v>262</v>
      </c>
      <c r="M84" s="3" t="s">
        <v>84</v>
      </c>
      <c r="N84" s="3" t="s">
        <v>85</v>
      </c>
      <c r="O84" s="3" t="s">
        <v>135</v>
      </c>
      <c r="P84" s="3">
        <v>2026</v>
      </c>
      <c r="Q84" s="3" t="s">
        <v>852</v>
      </c>
      <c r="R84" s="3" t="s">
        <v>88</v>
      </c>
      <c r="S84" s="3" t="s">
        <v>853</v>
      </c>
      <c r="T84" s="3" t="s">
        <v>90</v>
      </c>
      <c r="U84" s="3" t="s">
        <v>157</v>
      </c>
      <c r="V84" s="3" t="s">
        <v>854</v>
      </c>
      <c r="W84" s="3" t="s">
        <v>855</v>
      </c>
      <c r="X84" s="3" t="s">
        <v>856</v>
      </c>
      <c r="Y84" s="3" t="s">
        <v>857</v>
      </c>
      <c r="Z84" s="3" t="s">
        <v>858</v>
      </c>
      <c r="AA84" s="3" t="s">
        <v>96</v>
      </c>
      <c r="AB84" s="3">
        <v>31</v>
      </c>
      <c r="AC84" s="3">
        <f t="shared" si="6"/>
        <v>0</v>
      </c>
      <c r="AD84" s="3">
        <f t="shared" si="7"/>
        <v>1</v>
      </c>
      <c r="AH84" s="3" t="s">
        <v>324</v>
      </c>
      <c r="AI84" s="3">
        <f t="shared" si="8"/>
        <v>0</v>
      </c>
      <c r="AJ84" s="3" t="str">
        <f ca="1">IFERROR(_xludf.MINIFS($P$2:$P$175,$A$2:$A$175,$A84,$C$2:$C$175,$C84,$AC$2:$AC$175,1),"")</f>
        <v/>
      </c>
    </row>
    <row r="85" spans="1:36" x14ac:dyDescent="0.2">
      <c r="A85" s="3" t="s">
        <v>848</v>
      </c>
      <c r="B85" s="3" t="s">
        <v>849</v>
      </c>
      <c r="C85" s="3" t="s">
        <v>805</v>
      </c>
      <c r="D85" s="3" t="s">
        <v>850</v>
      </c>
      <c r="E85" s="3" t="s">
        <v>825</v>
      </c>
      <c r="F85" s="3" t="s">
        <v>324</v>
      </c>
      <c r="G85" s="3" t="s">
        <v>780</v>
      </c>
      <c r="H85" s="3" t="s">
        <v>457</v>
      </c>
      <c r="I85" s="3" t="s">
        <v>113</v>
      </c>
      <c r="J85" s="3" t="s">
        <v>239</v>
      </c>
      <c r="K85" s="3" t="s">
        <v>859</v>
      </c>
      <c r="L85" s="3" t="s">
        <v>860</v>
      </c>
      <c r="M85" s="3" t="s">
        <v>363</v>
      </c>
      <c r="N85" s="3" t="s">
        <v>85</v>
      </c>
      <c r="O85" s="3" t="s">
        <v>104</v>
      </c>
      <c r="P85" s="3">
        <v>2022</v>
      </c>
      <c r="Q85" s="3" t="s">
        <v>861</v>
      </c>
      <c r="R85" s="3" t="s">
        <v>88</v>
      </c>
      <c r="S85" s="3" t="s">
        <v>862</v>
      </c>
      <c r="T85" s="3" t="s">
        <v>90</v>
      </c>
      <c r="U85" s="3" t="s">
        <v>365</v>
      </c>
      <c r="V85" s="3" t="s">
        <v>863</v>
      </c>
      <c r="W85" s="3" t="s">
        <v>864</v>
      </c>
      <c r="X85" s="3" t="s">
        <v>865</v>
      </c>
      <c r="Y85" s="3" t="s">
        <v>866</v>
      </c>
      <c r="Z85" s="3" t="s">
        <v>867</v>
      </c>
      <c r="AA85" s="3" t="s">
        <v>96</v>
      </c>
      <c r="AB85" s="3">
        <v>31</v>
      </c>
      <c r="AC85" s="3">
        <f t="shared" si="6"/>
        <v>0</v>
      </c>
      <c r="AD85" s="3">
        <f t="shared" si="7"/>
        <v>1</v>
      </c>
      <c r="AH85" s="3" t="s">
        <v>324</v>
      </c>
      <c r="AI85" s="3">
        <f t="shared" si="8"/>
        <v>0</v>
      </c>
      <c r="AJ85" s="3" t="str">
        <f ca="1">IFERROR(_xludf.MINIFS($P$2:$P$175,$A$2:$A$175,$A85,$C$2:$C$175,$C85,$AC$2:$AC$175,1),"")</f>
        <v/>
      </c>
    </row>
    <row r="86" spans="1:36" x14ac:dyDescent="0.2">
      <c r="A86" s="3" t="s">
        <v>868</v>
      </c>
      <c r="B86" s="3" t="s">
        <v>869</v>
      </c>
      <c r="C86" s="3" t="s">
        <v>870</v>
      </c>
      <c r="D86" s="3" t="s">
        <v>871</v>
      </c>
      <c r="E86" s="3" t="s">
        <v>825</v>
      </c>
      <c r="F86" s="3" t="s">
        <v>872</v>
      </c>
      <c r="G86" s="3" t="s">
        <v>873</v>
      </c>
      <c r="H86" s="3" t="s">
        <v>457</v>
      </c>
      <c r="I86" s="3" t="s">
        <v>80</v>
      </c>
      <c r="J86" s="3" t="s">
        <v>81</v>
      </c>
      <c r="K86" s="3" t="s">
        <v>874</v>
      </c>
      <c r="L86" s="3" t="s">
        <v>875</v>
      </c>
      <c r="M86" s="3" t="s">
        <v>84</v>
      </c>
      <c r="N86" s="3" t="s">
        <v>85</v>
      </c>
      <c r="O86" s="3" t="s">
        <v>135</v>
      </c>
      <c r="P86" s="3">
        <v>2024</v>
      </c>
      <c r="Q86" s="3" t="s">
        <v>876</v>
      </c>
      <c r="R86" s="3" t="s">
        <v>170</v>
      </c>
      <c r="S86" s="3" t="s">
        <v>877</v>
      </c>
      <c r="T86" s="3" t="s">
        <v>90</v>
      </c>
      <c r="U86" s="3" t="s">
        <v>107</v>
      </c>
      <c r="V86" s="3" t="s">
        <v>878</v>
      </c>
      <c r="W86" s="3" t="s">
        <v>879</v>
      </c>
      <c r="X86" s="3" t="s">
        <v>880</v>
      </c>
      <c r="Y86" s="3" t="s">
        <v>881</v>
      </c>
      <c r="Z86" s="3" t="s">
        <v>882</v>
      </c>
      <c r="AA86" s="3" t="s">
        <v>96</v>
      </c>
      <c r="AB86" s="3">
        <v>32</v>
      </c>
      <c r="AC86" s="3">
        <f t="shared" si="6"/>
        <v>0</v>
      </c>
      <c r="AD86" s="3">
        <f t="shared" si="7"/>
        <v>1</v>
      </c>
      <c r="AE86" s="19">
        <v>1756579</v>
      </c>
      <c r="AF86" s="19">
        <v>1756579</v>
      </c>
      <c r="AG86" s="20" t="s">
        <v>883</v>
      </c>
      <c r="AH86" s="3" t="s">
        <v>129</v>
      </c>
      <c r="AI86" s="3">
        <f t="shared" si="8"/>
        <v>1</v>
      </c>
      <c r="AJ86" s="3" t="str">
        <f ca="1">IFERROR(_xludf.MINIFS($P$2:$P$175,$A$2:$A$175,$A86,$C$2:$C$175,$C86,$AC$2:$AC$175,1),"")</f>
        <v/>
      </c>
    </row>
    <row r="87" spans="1:36" x14ac:dyDescent="0.2">
      <c r="A87" s="3" t="s">
        <v>868</v>
      </c>
      <c r="B87" s="3" t="s">
        <v>869</v>
      </c>
      <c r="C87" s="3" t="s">
        <v>870</v>
      </c>
      <c r="D87" s="3" t="s">
        <v>871</v>
      </c>
      <c r="E87" s="3" t="s">
        <v>825</v>
      </c>
      <c r="F87" s="3" t="s">
        <v>872</v>
      </c>
      <c r="G87" s="3" t="s">
        <v>873</v>
      </c>
      <c r="H87" s="3" t="s">
        <v>457</v>
      </c>
      <c r="I87" s="3" t="s">
        <v>99</v>
      </c>
      <c r="J87" s="3" t="s">
        <v>252</v>
      </c>
      <c r="K87" s="3" t="s">
        <v>884</v>
      </c>
      <c r="L87" s="3" t="s">
        <v>884</v>
      </c>
      <c r="M87" s="3" t="s">
        <v>218</v>
      </c>
      <c r="N87" s="3" t="s">
        <v>85</v>
      </c>
      <c r="O87" s="3" t="s">
        <v>219</v>
      </c>
      <c r="P87" s="3"/>
      <c r="Q87" s="3" t="s">
        <v>884</v>
      </c>
      <c r="R87" s="3" t="s">
        <v>221</v>
      </c>
      <c r="S87" s="3" t="s">
        <v>884</v>
      </c>
      <c r="T87" s="3" t="s">
        <v>90</v>
      </c>
      <c r="U87" s="3" t="s">
        <v>222</v>
      </c>
      <c r="V87" s="3" t="s">
        <v>884</v>
      </c>
      <c r="W87" s="3" t="s">
        <v>884</v>
      </c>
      <c r="X87" s="3" t="s">
        <v>884</v>
      </c>
      <c r="Y87" s="3" t="s">
        <v>884</v>
      </c>
      <c r="Z87" s="3" t="s">
        <v>884</v>
      </c>
      <c r="AA87" s="3" t="s">
        <v>96</v>
      </c>
      <c r="AB87" s="3">
        <v>32</v>
      </c>
      <c r="AC87" s="3">
        <f t="shared" si="6"/>
        <v>0</v>
      </c>
      <c r="AD87" s="3">
        <f t="shared" si="7"/>
        <v>0</v>
      </c>
      <c r="AH87" s="3" t="s">
        <v>129</v>
      </c>
      <c r="AI87" s="3">
        <f t="shared" si="8"/>
        <v>1</v>
      </c>
      <c r="AJ87" s="3" t="str">
        <f ca="1">IFERROR(_xludf.MINIFS($P$2:$P$175,$A$2:$A$175,$A87,$C$2:$C$175,$C87,$AC$2:$AC$175,1),"")</f>
        <v/>
      </c>
    </row>
    <row r="88" spans="1:36" x14ac:dyDescent="0.2">
      <c r="A88" s="3" t="s">
        <v>868</v>
      </c>
      <c r="B88" s="3" t="s">
        <v>869</v>
      </c>
      <c r="C88" s="3" t="s">
        <v>870</v>
      </c>
      <c r="D88" s="3" t="s">
        <v>871</v>
      </c>
      <c r="E88" s="3" t="s">
        <v>825</v>
      </c>
      <c r="F88" s="3" t="s">
        <v>872</v>
      </c>
      <c r="G88" s="3" t="s">
        <v>873</v>
      </c>
      <c r="H88" s="3" t="s">
        <v>457</v>
      </c>
      <c r="I88" s="3" t="s">
        <v>113</v>
      </c>
      <c r="J88" s="3" t="s">
        <v>215</v>
      </c>
      <c r="K88" s="3" t="s">
        <v>885</v>
      </c>
      <c r="L88" s="3" t="s">
        <v>886</v>
      </c>
      <c r="M88" s="3" t="s">
        <v>133</v>
      </c>
      <c r="N88" s="3" t="s">
        <v>134</v>
      </c>
      <c r="O88" s="3" t="s">
        <v>104</v>
      </c>
      <c r="P88" s="3">
        <v>2026</v>
      </c>
      <c r="Q88" s="3" t="s">
        <v>887</v>
      </c>
      <c r="R88" s="3" t="s">
        <v>170</v>
      </c>
      <c r="S88" s="3" t="s">
        <v>877</v>
      </c>
      <c r="T88" s="3" t="s">
        <v>90</v>
      </c>
      <c r="U88" s="3" t="s">
        <v>107</v>
      </c>
      <c r="V88" s="3" t="s">
        <v>888</v>
      </c>
      <c r="W88" s="3" t="s">
        <v>889</v>
      </c>
      <c r="X88" s="3" t="s">
        <v>890</v>
      </c>
      <c r="Y88" s="3" t="s">
        <v>891</v>
      </c>
      <c r="Z88" s="3" t="s">
        <v>892</v>
      </c>
      <c r="AA88" s="3" t="s">
        <v>96</v>
      </c>
      <c r="AB88" s="3">
        <v>32</v>
      </c>
      <c r="AC88" s="3">
        <f t="shared" si="6"/>
        <v>1</v>
      </c>
      <c r="AD88" s="3">
        <f t="shared" si="7"/>
        <v>1</v>
      </c>
      <c r="AH88" s="3" t="s">
        <v>129</v>
      </c>
      <c r="AI88" s="3">
        <f t="shared" si="8"/>
        <v>1</v>
      </c>
      <c r="AJ88" s="3" t="str">
        <f ca="1">IFERROR(_xludf.MINIFS($P$2:$P$175,$A$2:$A$175,$A88,$C$2:$C$175,$C88,$AC$2:$AC$175,1),"")</f>
        <v/>
      </c>
    </row>
    <row r="89" spans="1:36" x14ac:dyDescent="0.2">
      <c r="A89" s="3" t="s">
        <v>893</v>
      </c>
      <c r="B89" s="3" t="s">
        <v>894</v>
      </c>
      <c r="C89" s="3" t="s">
        <v>895</v>
      </c>
      <c r="D89" s="3" t="s">
        <v>896</v>
      </c>
      <c r="E89" s="3" t="s">
        <v>897</v>
      </c>
      <c r="F89" s="3" t="s">
        <v>129</v>
      </c>
      <c r="G89" s="3" t="s">
        <v>898</v>
      </c>
      <c r="H89" s="3" t="s">
        <v>79</v>
      </c>
      <c r="I89" s="3" t="s">
        <v>80</v>
      </c>
      <c r="J89" s="3" t="s">
        <v>215</v>
      </c>
      <c r="K89" s="3" t="s">
        <v>899</v>
      </c>
      <c r="L89" s="3" t="s">
        <v>900</v>
      </c>
      <c r="M89" s="3" t="s">
        <v>84</v>
      </c>
      <c r="N89" s="3" t="s">
        <v>85</v>
      </c>
      <c r="O89" s="3" t="s">
        <v>86</v>
      </c>
      <c r="P89" s="3">
        <v>2025</v>
      </c>
      <c r="Q89" s="3" t="s">
        <v>901</v>
      </c>
      <c r="R89" s="3" t="s">
        <v>264</v>
      </c>
      <c r="S89" s="3" t="s">
        <v>902</v>
      </c>
      <c r="T89" s="3" t="s">
        <v>90</v>
      </c>
      <c r="U89" s="3" t="s">
        <v>396</v>
      </c>
      <c r="V89" s="3" t="s">
        <v>903</v>
      </c>
      <c r="W89" s="3" t="s">
        <v>904</v>
      </c>
      <c r="X89" s="3" t="s">
        <v>905</v>
      </c>
      <c r="Y89" s="3" t="s">
        <v>906</v>
      </c>
      <c r="Z89" s="3" t="s">
        <v>907</v>
      </c>
      <c r="AA89" s="3" t="s">
        <v>96</v>
      </c>
      <c r="AB89" s="3">
        <v>33</v>
      </c>
      <c r="AC89" s="3">
        <f t="shared" si="6"/>
        <v>0</v>
      </c>
      <c r="AD89" s="3">
        <f t="shared" si="7"/>
        <v>1</v>
      </c>
      <c r="AG89" s="20" t="s">
        <v>908</v>
      </c>
      <c r="AH89" s="3" t="s">
        <v>129</v>
      </c>
      <c r="AI89" s="3">
        <f t="shared" si="8"/>
        <v>1</v>
      </c>
      <c r="AJ89" s="3" t="str">
        <f ca="1">IFERROR(_xludf.MINIFS($P$2:$P$175,$A$2:$A$175,$A89,$C$2:$C$175,$C89,$AC$2:$AC$175,1),"")</f>
        <v/>
      </c>
    </row>
    <row r="90" spans="1:36" x14ac:dyDescent="0.2">
      <c r="A90" s="3" t="s">
        <v>893</v>
      </c>
      <c r="B90" s="3" t="s">
        <v>894</v>
      </c>
      <c r="C90" s="3" t="s">
        <v>895</v>
      </c>
      <c r="D90" s="3" t="s">
        <v>896</v>
      </c>
      <c r="E90" s="3" t="s">
        <v>897</v>
      </c>
      <c r="F90" s="3" t="s">
        <v>129</v>
      </c>
      <c r="G90" s="3" t="s">
        <v>898</v>
      </c>
      <c r="H90" s="3" t="s">
        <v>79</v>
      </c>
      <c r="I90" s="3" t="s">
        <v>99</v>
      </c>
      <c r="J90" s="3" t="s">
        <v>81</v>
      </c>
      <c r="K90" s="3" t="s">
        <v>760</v>
      </c>
      <c r="L90" s="3" t="s">
        <v>101</v>
      </c>
      <c r="M90" s="3" t="s">
        <v>102</v>
      </c>
      <c r="N90" s="3" t="s">
        <v>103</v>
      </c>
      <c r="O90" s="3" t="s">
        <v>104</v>
      </c>
      <c r="P90" s="3">
        <v>2022</v>
      </c>
      <c r="Q90" s="3" t="s">
        <v>790</v>
      </c>
      <c r="R90" s="3" t="s">
        <v>170</v>
      </c>
      <c r="S90" s="3" t="s">
        <v>909</v>
      </c>
      <c r="T90" s="3" t="s">
        <v>90</v>
      </c>
      <c r="U90" s="3" t="s">
        <v>396</v>
      </c>
      <c r="V90" s="3" t="s">
        <v>910</v>
      </c>
      <c r="W90" s="3" t="s">
        <v>911</v>
      </c>
      <c r="X90" s="3" t="s">
        <v>912</v>
      </c>
      <c r="Y90" s="3" t="s">
        <v>913</v>
      </c>
      <c r="Z90" s="3" t="s">
        <v>914</v>
      </c>
      <c r="AA90" s="3" t="s">
        <v>96</v>
      </c>
      <c r="AB90" s="3">
        <v>33</v>
      </c>
      <c r="AC90" s="3">
        <f t="shared" si="6"/>
        <v>1</v>
      </c>
      <c r="AD90" s="3">
        <f t="shared" si="7"/>
        <v>1</v>
      </c>
      <c r="AH90" s="3" t="s">
        <v>129</v>
      </c>
      <c r="AI90" s="3">
        <f t="shared" si="8"/>
        <v>1</v>
      </c>
      <c r="AJ90" s="3" t="str">
        <f ca="1">IFERROR(_xludf.MINIFS($P$2:$P$175,$A$2:$A$175,$A90,$C$2:$C$175,$C90,$AC$2:$AC$175,1),"")</f>
        <v/>
      </c>
    </row>
    <row r="91" spans="1:36" x14ac:dyDescent="0.2">
      <c r="A91" s="3" t="s">
        <v>893</v>
      </c>
      <c r="B91" s="3" t="s">
        <v>894</v>
      </c>
      <c r="C91" s="3" t="s">
        <v>895</v>
      </c>
      <c r="D91" s="3" t="s">
        <v>896</v>
      </c>
      <c r="E91" s="3" t="s">
        <v>897</v>
      </c>
      <c r="F91" s="3" t="s">
        <v>129</v>
      </c>
      <c r="G91" s="3" t="s">
        <v>898</v>
      </c>
      <c r="H91" s="3" t="s">
        <v>79</v>
      </c>
      <c r="I91" s="3" t="s">
        <v>113</v>
      </c>
      <c r="J91" s="3" t="s">
        <v>130</v>
      </c>
      <c r="K91" s="3" t="s">
        <v>915</v>
      </c>
      <c r="L91" s="3" t="s">
        <v>916</v>
      </c>
      <c r="M91" s="3" t="s">
        <v>363</v>
      </c>
      <c r="N91" s="3" t="s">
        <v>85</v>
      </c>
      <c r="O91" s="3" t="s">
        <v>104</v>
      </c>
      <c r="P91" s="3">
        <v>2024</v>
      </c>
      <c r="Q91" s="3" t="s">
        <v>917</v>
      </c>
      <c r="R91" s="3" t="s">
        <v>264</v>
      </c>
      <c r="S91" s="3" t="s">
        <v>918</v>
      </c>
      <c r="T91" s="3" t="s">
        <v>90</v>
      </c>
      <c r="U91" s="3" t="s">
        <v>352</v>
      </c>
      <c r="V91" s="3" t="s">
        <v>919</v>
      </c>
      <c r="W91" s="3" t="s">
        <v>920</v>
      </c>
      <c r="X91" s="3" t="s">
        <v>921</v>
      </c>
      <c r="Y91" s="3" t="s">
        <v>922</v>
      </c>
      <c r="Z91" s="3" t="s">
        <v>923</v>
      </c>
      <c r="AA91" s="3" t="s">
        <v>96</v>
      </c>
      <c r="AB91" s="3">
        <v>33</v>
      </c>
      <c r="AC91" s="3">
        <f t="shared" si="6"/>
        <v>0</v>
      </c>
      <c r="AD91" s="3">
        <f t="shared" si="7"/>
        <v>1</v>
      </c>
      <c r="AH91" s="3" t="s">
        <v>129</v>
      </c>
      <c r="AI91" s="3">
        <f t="shared" si="8"/>
        <v>1</v>
      </c>
      <c r="AJ91" s="3" t="str">
        <f ca="1">IFERROR(_xludf.MINIFS($P$2:$P$175,$A$2:$A$175,$A91,$C$2:$C$175,$C91,$AC$2:$AC$175,1),"")</f>
        <v/>
      </c>
    </row>
    <row r="92" spans="1:36" x14ac:dyDescent="0.2">
      <c r="A92" s="3" t="s">
        <v>924</v>
      </c>
      <c r="B92" s="3" t="s">
        <v>925</v>
      </c>
      <c r="C92" s="3" t="s">
        <v>895</v>
      </c>
      <c r="D92" s="3" t="s">
        <v>926</v>
      </c>
      <c r="E92" s="3" t="s">
        <v>926</v>
      </c>
      <c r="F92" s="3" t="s">
        <v>129</v>
      </c>
      <c r="G92" s="3" t="s">
        <v>898</v>
      </c>
      <c r="H92" s="3" t="s">
        <v>79</v>
      </c>
      <c r="I92" s="3" t="s">
        <v>80</v>
      </c>
      <c r="J92" s="3" t="s">
        <v>215</v>
      </c>
      <c r="K92" s="3" t="s">
        <v>927</v>
      </c>
      <c r="L92" s="3" t="s">
        <v>928</v>
      </c>
      <c r="M92" s="3" t="s">
        <v>102</v>
      </c>
      <c r="N92" s="3" t="s">
        <v>103</v>
      </c>
      <c r="O92" s="3" t="s">
        <v>104</v>
      </c>
      <c r="P92" s="3">
        <v>2016</v>
      </c>
      <c r="Q92" s="3" t="s">
        <v>929</v>
      </c>
      <c r="R92" s="3" t="s">
        <v>170</v>
      </c>
      <c r="S92" s="3" t="s">
        <v>930</v>
      </c>
      <c r="T92" s="3" t="s">
        <v>90</v>
      </c>
      <c r="U92" s="3" t="s">
        <v>86</v>
      </c>
      <c r="V92" s="3" t="s">
        <v>931</v>
      </c>
      <c r="W92" s="3" t="s">
        <v>932</v>
      </c>
      <c r="X92" s="3" t="s">
        <v>933</v>
      </c>
      <c r="Y92" s="3" t="s">
        <v>934</v>
      </c>
      <c r="Z92" s="3" t="s">
        <v>935</v>
      </c>
      <c r="AA92" s="3" t="s">
        <v>96</v>
      </c>
      <c r="AB92" s="3">
        <v>34</v>
      </c>
      <c r="AC92" s="3">
        <f t="shared" si="6"/>
        <v>1</v>
      </c>
      <c r="AD92" s="3">
        <f t="shared" si="7"/>
        <v>1</v>
      </c>
      <c r="AG92" s="20" t="s">
        <v>936</v>
      </c>
      <c r="AH92" s="3" t="s">
        <v>129</v>
      </c>
      <c r="AI92" s="3">
        <f t="shared" si="8"/>
        <v>1</v>
      </c>
      <c r="AJ92" s="3" t="str">
        <f ca="1">IFERROR(_xludf.MINIFS($P$2:$P$175,$A$2:$A$175,$A92,$C$2:$C$175,$C92,$AC$2:$AC$175,1),"")</f>
        <v/>
      </c>
    </row>
    <row r="93" spans="1:36" x14ac:dyDescent="0.2">
      <c r="A93" s="3" t="s">
        <v>924</v>
      </c>
      <c r="B93" s="3" t="s">
        <v>925</v>
      </c>
      <c r="C93" s="3" t="s">
        <v>895</v>
      </c>
      <c r="D93" s="3" t="s">
        <v>926</v>
      </c>
      <c r="E93" s="3" t="s">
        <v>926</v>
      </c>
      <c r="F93" s="3" t="s">
        <v>129</v>
      </c>
      <c r="G93" s="3" t="s">
        <v>898</v>
      </c>
      <c r="H93" s="3" t="s">
        <v>79</v>
      </c>
      <c r="I93" s="3" t="s">
        <v>99</v>
      </c>
      <c r="J93" s="3" t="s">
        <v>215</v>
      </c>
      <c r="K93" s="3" t="s">
        <v>937</v>
      </c>
      <c r="L93" s="3" t="s">
        <v>938</v>
      </c>
      <c r="M93" s="3" t="s">
        <v>102</v>
      </c>
      <c r="N93" s="3" t="s">
        <v>103</v>
      </c>
      <c r="O93" s="3" t="s">
        <v>104</v>
      </c>
      <c r="P93" s="3"/>
      <c r="Q93" s="3" t="s">
        <v>939</v>
      </c>
      <c r="R93" s="3" t="s">
        <v>170</v>
      </c>
      <c r="S93" s="3" t="s">
        <v>930</v>
      </c>
      <c r="T93" s="3" t="s">
        <v>90</v>
      </c>
      <c r="U93" s="3" t="s">
        <v>365</v>
      </c>
      <c r="V93" s="3" t="s">
        <v>931</v>
      </c>
      <c r="W93" s="3" t="s">
        <v>940</v>
      </c>
      <c r="X93" s="3" t="s">
        <v>941</v>
      </c>
      <c r="Y93" s="3" t="s">
        <v>942</v>
      </c>
      <c r="Z93" s="3" t="s">
        <v>943</v>
      </c>
      <c r="AA93" s="3" t="s">
        <v>96</v>
      </c>
      <c r="AB93" s="3">
        <v>34</v>
      </c>
      <c r="AC93" s="3">
        <f t="shared" si="6"/>
        <v>1</v>
      </c>
      <c r="AD93" s="3">
        <f t="shared" si="7"/>
        <v>1</v>
      </c>
      <c r="AH93" s="3" t="s">
        <v>129</v>
      </c>
      <c r="AI93" s="3">
        <f t="shared" si="8"/>
        <v>1</v>
      </c>
      <c r="AJ93" s="3" t="str">
        <f ca="1">IFERROR(_xludf.MINIFS($P$2:$P$175,$A$2:$A$175,$A93,$C$2:$C$175,$C93,$AC$2:$AC$175,1),"")</f>
        <v/>
      </c>
    </row>
    <row r="94" spans="1:36" x14ac:dyDescent="0.2">
      <c r="A94" s="3" t="s">
        <v>924</v>
      </c>
      <c r="B94" s="3" t="s">
        <v>925</v>
      </c>
      <c r="C94" s="3" t="s">
        <v>895</v>
      </c>
      <c r="D94" s="3" t="s">
        <v>926</v>
      </c>
      <c r="E94" s="3" t="s">
        <v>926</v>
      </c>
      <c r="F94" s="3" t="s">
        <v>129</v>
      </c>
      <c r="G94" s="3" t="s">
        <v>898</v>
      </c>
      <c r="H94" s="3" t="s">
        <v>79</v>
      </c>
      <c r="I94" s="3" t="s">
        <v>113</v>
      </c>
      <c r="J94" s="3" t="s">
        <v>215</v>
      </c>
      <c r="K94" s="3" t="s">
        <v>944</v>
      </c>
      <c r="L94" s="3" t="s">
        <v>945</v>
      </c>
      <c r="M94" s="3" t="s">
        <v>102</v>
      </c>
      <c r="N94" s="3" t="s">
        <v>103</v>
      </c>
      <c r="O94" s="3" t="s">
        <v>104</v>
      </c>
      <c r="P94" s="3"/>
      <c r="Q94" s="3" t="s">
        <v>946</v>
      </c>
      <c r="R94" s="3" t="s">
        <v>264</v>
      </c>
      <c r="S94" s="3" t="s">
        <v>947</v>
      </c>
      <c r="T94" s="3" t="s">
        <v>90</v>
      </c>
      <c r="U94" s="3" t="s">
        <v>222</v>
      </c>
      <c r="V94" s="3" t="s">
        <v>948</v>
      </c>
      <c r="W94" s="3" t="s">
        <v>949</v>
      </c>
      <c r="X94" s="3" t="s">
        <v>950</v>
      </c>
      <c r="Y94" s="3" t="s">
        <v>951</v>
      </c>
      <c r="Z94" s="3" t="s">
        <v>952</v>
      </c>
      <c r="AA94" s="3" t="s">
        <v>96</v>
      </c>
      <c r="AB94" s="3">
        <v>34</v>
      </c>
      <c r="AC94" s="3">
        <f t="shared" si="6"/>
        <v>1</v>
      </c>
      <c r="AD94" s="3">
        <f t="shared" si="7"/>
        <v>1</v>
      </c>
      <c r="AH94" s="3" t="s">
        <v>129</v>
      </c>
      <c r="AI94" s="3">
        <f t="shared" si="8"/>
        <v>1</v>
      </c>
      <c r="AJ94" s="3" t="str">
        <f ca="1">IFERROR(_xludf.MINIFS($P$2:$P$175,$A$2:$A$175,$A94,$C$2:$C$175,$C94,$AC$2:$AC$175,1),"")</f>
        <v/>
      </c>
    </row>
    <row r="95" spans="1:36" x14ac:dyDescent="0.2">
      <c r="A95" s="3" t="s">
        <v>953</v>
      </c>
      <c r="B95" s="3" t="s">
        <v>954</v>
      </c>
      <c r="C95" s="3" t="s">
        <v>955</v>
      </c>
      <c r="D95" s="3" t="s">
        <v>956</v>
      </c>
      <c r="E95" s="3" t="s">
        <v>576</v>
      </c>
      <c r="F95" s="3" t="s">
        <v>324</v>
      </c>
      <c r="G95" s="3" t="s">
        <v>957</v>
      </c>
      <c r="H95" s="3" t="s">
        <v>260</v>
      </c>
      <c r="I95" s="3" t="s">
        <v>80</v>
      </c>
      <c r="J95" s="3" t="s">
        <v>81</v>
      </c>
      <c r="K95" s="3" t="s">
        <v>958</v>
      </c>
      <c r="L95" s="3" t="s">
        <v>959</v>
      </c>
      <c r="M95" s="3" t="s">
        <v>133</v>
      </c>
      <c r="N95" s="3" t="s">
        <v>134</v>
      </c>
      <c r="O95" s="3" t="s">
        <v>104</v>
      </c>
      <c r="P95" s="3">
        <v>2022</v>
      </c>
      <c r="Q95" s="3" t="s">
        <v>960</v>
      </c>
      <c r="R95" s="3" t="s">
        <v>264</v>
      </c>
      <c r="S95" s="3" t="s">
        <v>961</v>
      </c>
      <c r="T95" s="3" t="s">
        <v>90</v>
      </c>
      <c r="U95" s="3" t="s">
        <v>396</v>
      </c>
      <c r="V95" s="3" t="s">
        <v>962</v>
      </c>
      <c r="W95" s="3" t="s">
        <v>963</v>
      </c>
      <c r="X95" s="3" t="s">
        <v>964</v>
      </c>
      <c r="Y95" s="3" t="s">
        <v>965</v>
      </c>
      <c r="Z95" s="3" t="s">
        <v>966</v>
      </c>
      <c r="AA95" s="3" t="s">
        <v>96</v>
      </c>
      <c r="AB95" s="3">
        <v>35</v>
      </c>
      <c r="AC95" s="3">
        <f t="shared" si="6"/>
        <v>1</v>
      </c>
      <c r="AD95" s="3">
        <f t="shared" si="7"/>
        <v>1</v>
      </c>
      <c r="AG95" s="20" t="s">
        <v>967</v>
      </c>
      <c r="AH95" s="3" t="s">
        <v>324</v>
      </c>
      <c r="AI95" s="3">
        <f t="shared" si="8"/>
        <v>1</v>
      </c>
      <c r="AJ95" s="3" t="str">
        <f ca="1">IFERROR(_xludf.MINIFS($P$2:$P$175,$A$2:$A$175,$A95,$C$2:$C$175,$C95,$AC$2:$AC$175,1),"")</f>
        <v/>
      </c>
    </row>
    <row r="96" spans="1:36" x14ac:dyDescent="0.2">
      <c r="A96" s="3" t="s">
        <v>953</v>
      </c>
      <c r="B96" s="3" t="s">
        <v>954</v>
      </c>
      <c r="C96" s="3" t="s">
        <v>955</v>
      </c>
      <c r="D96" s="3" t="s">
        <v>956</v>
      </c>
      <c r="E96" s="3" t="s">
        <v>576</v>
      </c>
      <c r="F96" s="3" t="s">
        <v>324</v>
      </c>
      <c r="G96" s="3" t="s">
        <v>957</v>
      </c>
      <c r="H96" s="3" t="s">
        <v>260</v>
      </c>
      <c r="I96" s="3" t="s">
        <v>99</v>
      </c>
      <c r="J96" s="3" t="s">
        <v>81</v>
      </c>
      <c r="K96" s="3" t="s">
        <v>760</v>
      </c>
      <c r="L96" s="3" t="s">
        <v>968</v>
      </c>
      <c r="M96" s="3" t="s">
        <v>133</v>
      </c>
      <c r="N96" s="3" t="s">
        <v>134</v>
      </c>
      <c r="O96" s="3" t="s">
        <v>104</v>
      </c>
      <c r="P96" s="3">
        <v>2019</v>
      </c>
      <c r="Q96" s="3" t="s">
        <v>969</v>
      </c>
      <c r="R96" s="3" t="s">
        <v>88</v>
      </c>
      <c r="S96" s="3" t="s">
        <v>970</v>
      </c>
      <c r="T96" s="3" t="s">
        <v>90</v>
      </c>
      <c r="U96" s="3" t="s">
        <v>740</v>
      </c>
      <c r="V96" s="3" t="s">
        <v>971</v>
      </c>
      <c r="W96" s="3" t="s">
        <v>972</v>
      </c>
      <c r="X96" s="3" t="s">
        <v>973</v>
      </c>
      <c r="Y96" s="3" t="s">
        <v>974</v>
      </c>
      <c r="Z96" s="3" t="s">
        <v>975</v>
      </c>
      <c r="AA96" s="3" t="s">
        <v>96</v>
      </c>
      <c r="AB96" s="3">
        <v>35</v>
      </c>
      <c r="AC96" s="3">
        <f t="shared" si="6"/>
        <v>1</v>
      </c>
      <c r="AD96" s="3">
        <f t="shared" si="7"/>
        <v>1</v>
      </c>
      <c r="AH96" s="3" t="s">
        <v>324</v>
      </c>
      <c r="AI96" s="3">
        <f t="shared" si="8"/>
        <v>1</v>
      </c>
      <c r="AJ96" s="3" t="str">
        <f ca="1">IFERROR(_xludf.MINIFS($P$2:$P$175,$A$2:$A$175,$A96,$C$2:$C$175,$C96,$AC$2:$AC$175,1),"")</f>
        <v/>
      </c>
    </row>
    <row r="97" spans="1:36" x14ac:dyDescent="0.2">
      <c r="A97" s="3" t="s">
        <v>953</v>
      </c>
      <c r="B97" s="3" t="s">
        <v>954</v>
      </c>
      <c r="C97" s="3" t="s">
        <v>955</v>
      </c>
      <c r="D97" s="3" t="s">
        <v>956</v>
      </c>
      <c r="E97" s="3" t="s">
        <v>576</v>
      </c>
      <c r="F97" s="3" t="s">
        <v>324</v>
      </c>
      <c r="G97" s="3" t="s">
        <v>957</v>
      </c>
      <c r="H97" s="3" t="s">
        <v>260</v>
      </c>
      <c r="I97" s="3" t="s">
        <v>113</v>
      </c>
      <c r="J97" s="3" t="s">
        <v>130</v>
      </c>
      <c r="K97" s="3" t="s">
        <v>976</v>
      </c>
      <c r="L97" s="3" t="s">
        <v>977</v>
      </c>
      <c r="M97" s="3" t="s">
        <v>133</v>
      </c>
      <c r="N97" s="3" t="s">
        <v>134</v>
      </c>
      <c r="O97" s="3" t="s">
        <v>104</v>
      </c>
      <c r="P97" s="3">
        <v>2024</v>
      </c>
      <c r="Q97" s="3" t="s">
        <v>978</v>
      </c>
      <c r="R97" s="3" t="s">
        <v>88</v>
      </c>
      <c r="S97" s="3" t="s">
        <v>979</v>
      </c>
      <c r="T97" s="3" t="s">
        <v>90</v>
      </c>
      <c r="U97" s="3" t="s">
        <v>329</v>
      </c>
      <c r="V97" s="3" t="s">
        <v>980</v>
      </c>
      <c r="W97" s="3" t="s">
        <v>981</v>
      </c>
      <c r="X97" s="3" t="s">
        <v>982</v>
      </c>
      <c r="Y97" s="3" t="s">
        <v>983</v>
      </c>
      <c r="Z97" s="3" t="s">
        <v>984</v>
      </c>
      <c r="AA97" s="3" t="s">
        <v>96</v>
      </c>
      <c r="AB97" s="3">
        <v>35</v>
      </c>
      <c r="AC97" s="3">
        <f t="shared" si="6"/>
        <v>1</v>
      </c>
      <c r="AD97" s="3">
        <f t="shared" si="7"/>
        <v>1</v>
      </c>
      <c r="AH97" s="3" t="s">
        <v>324</v>
      </c>
      <c r="AI97" s="3">
        <f t="shared" si="8"/>
        <v>1</v>
      </c>
      <c r="AJ97" s="3" t="str">
        <f ca="1">IFERROR(_xludf.MINIFS($P$2:$P$175,$A$2:$A$175,$A97,$C$2:$C$175,$C97,$AC$2:$AC$175,1),"")</f>
        <v/>
      </c>
    </row>
    <row r="98" spans="1:36" x14ac:dyDescent="0.2">
      <c r="A98" s="3" t="s">
        <v>985</v>
      </c>
      <c r="B98" s="3" t="s">
        <v>986</v>
      </c>
      <c r="C98" s="3" t="s">
        <v>987</v>
      </c>
      <c r="D98" s="3" t="s">
        <v>988</v>
      </c>
      <c r="E98" s="3" t="s">
        <v>989</v>
      </c>
      <c r="F98" s="3" t="s">
        <v>990</v>
      </c>
      <c r="G98" s="3" t="s">
        <v>991</v>
      </c>
      <c r="H98" s="3" t="s">
        <v>457</v>
      </c>
      <c r="I98" s="3" t="s">
        <v>80</v>
      </c>
      <c r="J98" s="3" t="s">
        <v>81</v>
      </c>
      <c r="K98" s="3" t="s">
        <v>992</v>
      </c>
      <c r="L98" s="3" t="s">
        <v>993</v>
      </c>
      <c r="M98" s="3" t="s">
        <v>133</v>
      </c>
      <c r="N98" s="3" t="s">
        <v>134</v>
      </c>
      <c r="O98" s="3" t="s">
        <v>104</v>
      </c>
      <c r="P98" s="3">
        <v>2018</v>
      </c>
      <c r="Q98" s="3" t="s">
        <v>994</v>
      </c>
      <c r="R98" s="3" t="s">
        <v>170</v>
      </c>
      <c r="S98" s="3" t="s">
        <v>171</v>
      </c>
      <c r="T98" s="3" t="s">
        <v>90</v>
      </c>
      <c r="U98" s="3" t="s">
        <v>396</v>
      </c>
      <c r="V98" s="3" t="s">
        <v>995</v>
      </c>
      <c r="W98" s="3" t="s">
        <v>996</v>
      </c>
      <c r="X98" s="3" t="s">
        <v>997</v>
      </c>
      <c r="Y98" s="3" t="s">
        <v>998</v>
      </c>
      <c r="Z98" s="3"/>
      <c r="AA98" s="3" t="s">
        <v>96</v>
      </c>
      <c r="AB98" s="3">
        <v>36</v>
      </c>
      <c r="AC98" s="3">
        <f t="shared" ref="AC98:AC129" si="9">IF(OR($M98="Positive",$M98="Restricted Positive"),1,0)</f>
        <v>1</v>
      </c>
      <c r="AD98" s="3">
        <f t="shared" ref="AD98:AD129" si="10">IF($M98="Not Evaluated",0,1)</f>
        <v>1</v>
      </c>
      <c r="AG98" s="20" t="s">
        <v>995</v>
      </c>
      <c r="AH98" s="3" t="s">
        <v>129</v>
      </c>
      <c r="AI98" s="3">
        <f t="shared" ref="AI98:AI129" si="11">IF(COUNTIFS($A$2:$A$175,$A98,$C$2:$C$175,$C98,$AC$2:$AC$175,1)&gt;0,1,0)</f>
        <v>1</v>
      </c>
      <c r="AJ98" s="3" t="str">
        <f ca="1">IFERROR(_xludf.MINIFS($P$2:$P$175,$A$2:$A$175,$A98,$C$2:$C$175,$C98,$AC$2:$AC$175,1),"")</f>
        <v/>
      </c>
    </row>
    <row r="99" spans="1:36" x14ac:dyDescent="0.2">
      <c r="A99" s="3" t="s">
        <v>985</v>
      </c>
      <c r="B99" s="3" t="s">
        <v>986</v>
      </c>
      <c r="C99" s="3" t="s">
        <v>987</v>
      </c>
      <c r="D99" s="3" t="s">
        <v>988</v>
      </c>
      <c r="E99" s="3" t="s">
        <v>989</v>
      </c>
      <c r="F99" s="3" t="s">
        <v>990</v>
      </c>
      <c r="G99" s="3" t="s">
        <v>991</v>
      </c>
      <c r="H99" s="3" t="s">
        <v>457</v>
      </c>
      <c r="I99" s="3" t="s">
        <v>99</v>
      </c>
      <c r="J99" s="3" t="s">
        <v>215</v>
      </c>
      <c r="K99" s="3" t="s">
        <v>999</v>
      </c>
      <c r="L99" s="3" t="s">
        <v>1000</v>
      </c>
      <c r="M99" s="3" t="s">
        <v>102</v>
      </c>
      <c r="N99" s="3" t="s">
        <v>103</v>
      </c>
      <c r="O99" s="3" t="s">
        <v>104</v>
      </c>
      <c r="P99" s="3">
        <v>2018</v>
      </c>
      <c r="Q99" s="3" t="s">
        <v>1001</v>
      </c>
      <c r="R99" s="3" t="s">
        <v>170</v>
      </c>
      <c r="S99" s="3" t="s">
        <v>1002</v>
      </c>
      <c r="T99" s="3" t="s">
        <v>90</v>
      </c>
      <c r="U99" s="3" t="s">
        <v>222</v>
      </c>
      <c r="V99" s="3" t="s">
        <v>650</v>
      </c>
      <c r="W99" s="3" t="s">
        <v>1003</v>
      </c>
      <c r="X99" s="3" t="s">
        <v>1004</v>
      </c>
      <c r="Y99" s="3"/>
      <c r="Z99" s="3" t="s">
        <v>1005</v>
      </c>
      <c r="AA99" s="3" t="s">
        <v>96</v>
      </c>
      <c r="AB99" s="3">
        <v>36</v>
      </c>
      <c r="AC99" s="3">
        <f t="shared" si="9"/>
        <v>1</v>
      </c>
      <c r="AD99" s="3">
        <f t="shared" si="10"/>
        <v>1</v>
      </c>
      <c r="AH99" s="3" t="s">
        <v>129</v>
      </c>
      <c r="AI99" s="3">
        <f t="shared" si="11"/>
        <v>1</v>
      </c>
      <c r="AJ99" s="3" t="str">
        <f ca="1">IFERROR(_xludf.MINIFS($P$2:$P$175,$A$2:$A$175,$A99,$C$2:$C$175,$C99,$AC$2:$AC$175,1),"")</f>
        <v/>
      </c>
    </row>
    <row r="100" spans="1:36" x14ac:dyDescent="0.2">
      <c r="A100" s="3" t="s">
        <v>985</v>
      </c>
      <c r="B100" s="3" t="s">
        <v>986</v>
      </c>
      <c r="C100" s="3" t="s">
        <v>987</v>
      </c>
      <c r="D100" s="3" t="s">
        <v>988</v>
      </c>
      <c r="E100" s="3" t="s">
        <v>989</v>
      </c>
      <c r="F100" s="3" t="s">
        <v>990</v>
      </c>
      <c r="G100" s="3" t="s">
        <v>991</v>
      </c>
      <c r="H100" s="3" t="s">
        <v>457</v>
      </c>
      <c r="I100" s="3" t="s">
        <v>113</v>
      </c>
      <c r="J100" s="3" t="s">
        <v>130</v>
      </c>
      <c r="K100" s="3" t="s">
        <v>1006</v>
      </c>
      <c r="L100" s="3" t="s">
        <v>1007</v>
      </c>
      <c r="M100" s="3" t="s">
        <v>102</v>
      </c>
      <c r="N100" s="3" t="s">
        <v>103</v>
      </c>
      <c r="O100" s="3" t="s">
        <v>104</v>
      </c>
      <c r="P100" s="3">
        <v>2022</v>
      </c>
      <c r="Q100" s="3" t="s">
        <v>1008</v>
      </c>
      <c r="R100" s="3" t="s">
        <v>170</v>
      </c>
      <c r="S100" s="3" t="s">
        <v>171</v>
      </c>
      <c r="T100" s="3" t="s">
        <v>90</v>
      </c>
      <c r="U100" s="3" t="s">
        <v>396</v>
      </c>
      <c r="V100" s="3" t="s">
        <v>1009</v>
      </c>
      <c r="W100" s="3" t="s">
        <v>1010</v>
      </c>
      <c r="X100" s="3" t="s">
        <v>1011</v>
      </c>
      <c r="Y100" s="3"/>
      <c r="Z100" s="3" t="s">
        <v>1012</v>
      </c>
      <c r="AA100" s="3" t="s">
        <v>96</v>
      </c>
      <c r="AB100" s="3">
        <v>36</v>
      </c>
      <c r="AC100" s="3">
        <f t="shared" si="9"/>
        <v>1</v>
      </c>
      <c r="AD100" s="3">
        <f t="shared" si="10"/>
        <v>1</v>
      </c>
      <c r="AH100" s="3" t="s">
        <v>129</v>
      </c>
      <c r="AI100" s="3">
        <f t="shared" si="11"/>
        <v>1</v>
      </c>
      <c r="AJ100" s="3" t="str">
        <f ca="1">IFERROR(_xludf.MINIFS($P$2:$P$175,$A$2:$A$175,$A100,$C$2:$C$175,$C100,$AC$2:$AC$175,1),"")</f>
        <v/>
      </c>
    </row>
    <row r="101" spans="1:36" x14ac:dyDescent="0.2">
      <c r="A101" s="3" t="s">
        <v>1013</v>
      </c>
      <c r="B101" s="3" t="s">
        <v>1014</v>
      </c>
      <c r="C101" s="3" t="s">
        <v>987</v>
      </c>
      <c r="D101" s="3" t="s">
        <v>988</v>
      </c>
      <c r="E101" s="3" t="s">
        <v>989</v>
      </c>
      <c r="F101" s="3" t="s">
        <v>990</v>
      </c>
      <c r="G101" s="3" t="s">
        <v>991</v>
      </c>
      <c r="H101" s="3" t="s">
        <v>457</v>
      </c>
      <c r="I101" s="3" t="s">
        <v>80</v>
      </c>
      <c r="J101" s="3" t="s">
        <v>130</v>
      </c>
      <c r="K101" s="3" t="s">
        <v>1015</v>
      </c>
      <c r="L101" s="3" t="s">
        <v>1016</v>
      </c>
      <c r="M101" s="3" t="s">
        <v>102</v>
      </c>
      <c r="N101" s="3" t="s">
        <v>103</v>
      </c>
      <c r="O101" s="3" t="s">
        <v>104</v>
      </c>
      <c r="P101" s="3">
        <v>2021</v>
      </c>
      <c r="Q101" s="3" t="s">
        <v>1017</v>
      </c>
      <c r="R101" s="3" t="s">
        <v>170</v>
      </c>
      <c r="S101" s="3" t="s">
        <v>1018</v>
      </c>
      <c r="T101" s="3" t="s">
        <v>90</v>
      </c>
      <c r="U101" s="3" t="s">
        <v>396</v>
      </c>
      <c r="V101" s="3" t="s">
        <v>1019</v>
      </c>
      <c r="W101" s="3" t="s">
        <v>1020</v>
      </c>
      <c r="X101" s="3" t="s">
        <v>1021</v>
      </c>
      <c r="Y101" s="3" t="s">
        <v>1022</v>
      </c>
      <c r="Z101" s="3"/>
      <c r="AA101" s="3" t="s">
        <v>96</v>
      </c>
      <c r="AB101" s="3">
        <v>37</v>
      </c>
      <c r="AC101" s="3">
        <f t="shared" si="9"/>
        <v>1</v>
      </c>
      <c r="AD101" s="3">
        <f t="shared" si="10"/>
        <v>1</v>
      </c>
      <c r="AE101" s="19">
        <v>7700000</v>
      </c>
      <c r="AF101" s="19">
        <v>11700000</v>
      </c>
      <c r="AG101" s="20" t="s">
        <v>1023</v>
      </c>
      <c r="AH101" s="3" t="s">
        <v>129</v>
      </c>
      <c r="AI101" s="3">
        <f t="shared" si="11"/>
        <v>1</v>
      </c>
      <c r="AJ101" s="3" t="str">
        <f ca="1">IFERROR(_xludf.MINIFS($P$2:$P$175,$A$2:$A$175,$A101,$C$2:$C$175,$C101,$AC$2:$AC$175,1),"")</f>
        <v/>
      </c>
    </row>
    <row r="102" spans="1:36" x14ac:dyDescent="0.2">
      <c r="A102" s="3" t="s">
        <v>1013</v>
      </c>
      <c r="B102" s="3" t="s">
        <v>1014</v>
      </c>
      <c r="C102" s="3" t="s">
        <v>987</v>
      </c>
      <c r="D102" s="3" t="s">
        <v>988</v>
      </c>
      <c r="E102" s="3" t="s">
        <v>989</v>
      </c>
      <c r="F102" s="3" t="s">
        <v>990</v>
      </c>
      <c r="G102" s="3" t="s">
        <v>991</v>
      </c>
      <c r="H102" s="3" t="s">
        <v>457</v>
      </c>
      <c r="I102" s="3" t="s">
        <v>99</v>
      </c>
      <c r="J102" s="3" t="s">
        <v>215</v>
      </c>
      <c r="K102" s="3" t="s">
        <v>1024</v>
      </c>
      <c r="L102" s="3" t="s">
        <v>1025</v>
      </c>
      <c r="M102" s="3" t="s">
        <v>102</v>
      </c>
      <c r="N102" s="3" t="s">
        <v>103</v>
      </c>
      <c r="O102" s="3" t="s">
        <v>104</v>
      </c>
      <c r="P102" s="3">
        <v>2020</v>
      </c>
      <c r="Q102" s="3" t="s">
        <v>1026</v>
      </c>
      <c r="R102" s="3" t="s">
        <v>170</v>
      </c>
      <c r="S102" s="3" t="s">
        <v>1027</v>
      </c>
      <c r="T102" s="3" t="s">
        <v>90</v>
      </c>
      <c r="U102" s="3" t="s">
        <v>107</v>
      </c>
      <c r="V102" s="3" t="s">
        <v>650</v>
      </c>
      <c r="W102" s="3" t="s">
        <v>1028</v>
      </c>
      <c r="X102" s="3" t="s">
        <v>1029</v>
      </c>
      <c r="Y102" s="3"/>
      <c r="Z102" s="3" t="s">
        <v>1030</v>
      </c>
      <c r="AA102" s="3" t="s">
        <v>96</v>
      </c>
      <c r="AB102" s="3">
        <v>37</v>
      </c>
      <c r="AC102" s="3">
        <f t="shared" si="9"/>
        <v>1</v>
      </c>
      <c r="AD102" s="3">
        <f t="shared" si="10"/>
        <v>1</v>
      </c>
      <c r="AH102" s="3" t="s">
        <v>129</v>
      </c>
      <c r="AI102" s="3">
        <f t="shared" si="11"/>
        <v>1</v>
      </c>
      <c r="AJ102" s="3" t="str">
        <f ca="1">IFERROR(_xludf.MINIFS($P$2:$P$175,$A$2:$A$175,$A102,$C$2:$C$175,$C102,$AC$2:$AC$175,1),"")</f>
        <v/>
      </c>
    </row>
    <row r="103" spans="1:36" x14ac:dyDescent="0.2">
      <c r="A103" s="3" t="s">
        <v>1013</v>
      </c>
      <c r="B103" s="3" t="s">
        <v>1014</v>
      </c>
      <c r="C103" s="3" t="s">
        <v>987</v>
      </c>
      <c r="D103" s="3" t="s">
        <v>988</v>
      </c>
      <c r="E103" s="3" t="s">
        <v>989</v>
      </c>
      <c r="F103" s="3" t="s">
        <v>990</v>
      </c>
      <c r="G103" s="3" t="s">
        <v>991</v>
      </c>
      <c r="H103" s="3" t="s">
        <v>457</v>
      </c>
      <c r="I103" s="3" t="s">
        <v>113</v>
      </c>
      <c r="J103" s="3" t="s">
        <v>215</v>
      </c>
      <c r="K103" s="3" t="s">
        <v>885</v>
      </c>
      <c r="L103" s="3" t="s">
        <v>1031</v>
      </c>
      <c r="M103" s="3" t="s">
        <v>102</v>
      </c>
      <c r="N103" s="3" t="s">
        <v>103</v>
      </c>
      <c r="O103" s="3" t="s">
        <v>104</v>
      </c>
      <c r="P103" s="3">
        <v>2022</v>
      </c>
      <c r="Q103" s="3" t="s">
        <v>1032</v>
      </c>
      <c r="R103" s="3" t="s">
        <v>170</v>
      </c>
      <c r="S103" s="3" t="s">
        <v>1033</v>
      </c>
      <c r="T103" s="3" t="s">
        <v>90</v>
      </c>
      <c r="U103" s="3" t="s">
        <v>396</v>
      </c>
      <c r="V103" s="3" t="s">
        <v>1034</v>
      </c>
      <c r="W103" s="3" t="s">
        <v>1035</v>
      </c>
      <c r="X103" s="3" t="s">
        <v>1036</v>
      </c>
      <c r="Y103" s="3"/>
      <c r="Z103" s="3" t="s">
        <v>1037</v>
      </c>
      <c r="AA103" s="3" t="s">
        <v>96</v>
      </c>
      <c r="AB103" s="3">
        <v>37</v>
      </c>
      <c r="AC103" s="3">
        <f t="shared" si="9"/>
        <v>1</v>
      </c>
      <c r="AD103" s="3">
        <f t="shared" si="10"/>
        <v>1</v>
      </c>
      <c r="AH103" s="3" t="s">
        <v>129</v>
      </c>
      <c r="AI103" s="3">
        <f t="shared" si="11"/>
        <v>1</v>
      </c>
      <c r="AJ103" s="3" t="str">
        <f ca="1">IFERROR(_xludf.MINIFS($P$2:$P$175,$A$2:$A$175,$A103,$C$2:$C$175,$C103,$AC$2:$AC$175,1),"")</f>
        <v/>
      </c>
    </row>
    <row r="104" spans="1:36" x14ac:dyDescent="0.2">
      <c r="A104" s="3" t="s">
        <v>1038</v>
      </c>
      <c r="B104" s="3" t="s">
        <v>1039</v>
      </c>
      <c r="C104" s="3" t="s">
        <v>1040</v>
      </c>
      <c r="D104" s="3" t="s">
        <v>1041</v>
      </c>
      <c r="E104" s="3" t="s">
        <v>293</v>
      </c>
      <c r="F104" s="3" t="s">
        <v>512</v>
      </c>
      <c r="G104" s="3" t="s">
        <v>204</v>
      </c>
      <c r="H104" s="3" t="s">
        <v>79</v>
      </c>
      <c r="I104" s="3" t="s">
        <v>80</v>
      </c>
      <c r="J104" s="3" t="s">
        <v>130</v>
      </c>
      <c r="K104" s="3" t="s">
        <v>1042</v>
      </c>
      <c r="L104" s="3" t="s">
        <v>1043</v>
      </c>
      <c r="M104" s="3" t="s">
        <v>133</v>
      </c>
      <c r="N104" s="3" t="s">
        <v>134</v>
      </c>
      <c r="O104" s="3" t="s">
        <v>104</v>
      </c>
      <c r="P104" s="3"/>
      <c r="Q104" s="3">
        <v>2018</v>
      </c>
      <c r="R104" s="3" t="s">
        <v>170</v>
      </c>
      <c r="S104" s="3" t="s">
        <v>1044</v>
      </c>
      <c r="T104" s="3" t="s">
        <v>90</v>
      </c>
      <c r="U104" s="3" t="s">
        <v>86</v>
      </c>
      <c r="V104" s="3" t="s">
        <v>1045</v>
      </c>
      <c r="W104" s="3" t="s">
        <v>1046</v>
      </c>
      <c r="X104" s="3" t="s">
        <v>1047</v>
      </c>
      <c r="Y104" s="3" t="s">
        <v>1048</v>
      </c>
      <c r="Z104" s="3"/>
      <c r="AA104" s="3" t="s">
        <v>96</v>
      </c>
      <c r="AB104" s="3">
        <v>38</v>
      </c>
      <c r="AC104" s="3">
        <f t="shared" si="9"/>
        <v>1</v>
      </c>
      <c r="AD104" s="3">
        <f t="shared" si="10"/>
        <v>1</v>
      </c>
      <c r="AG104" s="20" t="s">
        <v>1049</v>
      </c>
      <c r="AH104" s="3" t="s">
        <v>512</v>
      </c>
      <c r="AI104" s="3">
        <f t="shared" si="11"/>
        <v>1</v>
      </c>
      <c r="AJ104" s="3" t="str">
        <f ca="1">IFERROR(_xludf.MINIFS($P$2:$P$175,$A$2:$A$175,$A104,$C$2:$C$175,$C104,$AC$2:$AC$175,1),"")</f>
        <v/>
      </c>
    </row>
    <row r="105" spans="1:36" x14ac:dyDescent="0.2">
      <c r="A105" s="3" t="s">
        <v>1038</v>
      </c>
      <c r="B105" s="3" t="s">
        <v>1039</v>
      </c>
      <c r="C105" s="3" t="s">
        <v>1040</v>
      </c>
      <c r="D105" s="3" t="s">
        <v>1041</v>
      </c>
      <c r="E105" s="3" t="s">
        <v>293</v>
      </c>
      <c r="F105" s="3" t="s">
        <v>512</v>
      </c>
      <c r="G105" s="3" t="s">
        <v>204</v>
      </c>
      <c r="H105" s="3" t="s">
        <v>79</v>
      </c>
      <c r="I105" s="3" t="s">
        <v>99</v>
      </c>
      <c r="J105" s="3" t="s">
        <v>81</v>
      </c>
      <c r="K105" s="3" t="s">
        <v>760</v>
      </c>
      <c r="L105" s="3" t="s">
        <v>1050</v>
      </c>
      <c r="M105" s="3" t="s">
        <v>133</v>
      </c>
      <c r="N105" s="3" t="s">
        <v>134</v>
      </c>
      <c r="O105" s="3" t="s">
        <v>135</v>
      </c>
      <c r="P105" s="3">
        <v>2018</v>
      </c>
      <c r="Q105" s="3" t="s">
        <v>1051</v>
      </c>
      <c r="R105" s="3" t="s">
        <v>170</v>
      </c>
      <c r="S105" s="3" t="s">
        <v>1044</v>
      </c>
      <c r="T105" s="3" t="s">
        <v>90</v>
      </c>
      <c r="U105" s="3" t="s">
        <v>157</v>
      </c>
      <c r="V105" s="3" t="s">
        <v>1052</v>
      </c>
      <c r="W105" s="3" t="s">
        <v>1053</v>
      </c>
      <c r="X105" s="3" t="s">
        <v>1054</v>
      </c>
      <c r="Y105" s="3" t="s">
        <v>1055</v>
      </c>
      <c r="Z105" s="3"/>
      <c r="AA105" s="3" t="s">
        <v>96</v>
      </c>
      <c r="AB105" s="3">
        <v>38</v>
      </c>
      <c r="AC105" s="3">
        <f t="shared" si="9"/>
        <v>1</v>
      </c>
      <c r="AD105" s="3">
        <f t="shared" si="10"/>
        <v>1</v>
      </c>
      <c r="AH105" s="3" t="s">
        <v>512</v>
      </c>
      <c r="AI105" s="3">
        <f t="shared" si="11"/>
        <v>1</v>
      </c>
      <c r="AJ105" s="3" t="str">
        <f ca="1">IFERROR(_xludf.MINIFS($P$2:$P$175,$A$2:$A$175,$A105,$C$2:$C$175,$C105,$AC$2:$AC$175,1),"")</f>
        <v/>
      </c>
    </row>
    <row r="106" spans="1:36" x14ac:dyDescent="0.2">
      <c r="A106" s="3" t="s">
        <v>1038</v>
      </c>
      <c r="B106" s="3" t="s">
        <v>1039</v>
      </c>
      <c r="C106" s="3" t="s">
        <v>1040</v>
      </c>
      <c r="D106" s="3" t="s">
        <v>1041</v>
      </c>
      <c r="E106" s="3" t="s">
        <v>293</v>
      </c>
      <c r="F106" s="3" t="s">
        <v>512</v>
      </c>
      <c r="G106" s="3" t="s">
        <v>204</v>
      </c>
      <c r="H106" s="3" t="s">
        <v>79</v>
      </c>
      <c r="I106" s="3" t="s">
        <v>113</v>
      </c>
      <c r="J106" s="3" t="s">
        <v>130</v>
      </c>
      <c r="K106" s="3" t="s">
        <v>1056</v>
      </c>
      <c r="L106" s="3" t="s">
        <v>1057</v>
      </c>
      <c r="M106" s="3" t="s">
        <v>133</v>
      </c>
      <c r="N106" s="3" t="s">
        <v>134</v>
      </c>
      <c r="O106" s="3" t="s">
        <v>135</v>
      </c>
      <c r="P106" s="3">
        <v>2021</v>
      </c>
      <c r="Q106" s="3" t="s">
        <v>1058</v>
      </c>
      <c r="R106" s="3" t="s">
        <v>170</v>
      </c>
      <c r="S106" s="3" t="s">
        <v>1044</v>
      </c>
      <c r="T106" s="3" t="s">
        <v>90</v>
      </c>
      <c r="U106" s="3" t="s">
        <v>107</v>
      </c>
      <c r="V106" s="3" t="s">
        <v>1059</v>
      </c>
      <c r="W106" s="3" t="s">
        <v>1060</v>
      </c>
      <c r="X106" s="3" t="s">
        <v>1061</v>
      </c>
      <c r="Y106" s="3" t="s">
        <v>1062</v>
      </c>
      <c r="Z106" s="3"/>
      <c r="AA106" s="3" t="s">
        <v>96</v>
      </c>
      <c r="AB106" s="3">
        <v>38</v>
      </c>
      <c r="AC106" s="3">
        <f t="shared" si="9"/>
        <v>1</v>
      </c>
      <c r="AD106" s="3">
        <f t="shared" si="10"/>
        <v>1</v>
      </c>
      <c r="AH106" s="3" t="s">
        <v>512</v>
      </c>
      <c r="AI106" s="3">
        <f t="shared" si="11"/>
        <v>1</v>
      </c>
      <c r="AJ106" s="3" t="str">
        <f ca="1">IFERROR(_xludf.MINIFS($P$2:$P$175,$A$2:$A$175,$A106,$C$2:$C$175,$C106,$AC$2:$AC$175,1),"")</f>
        <v/>
      </c>
    </row>
    <row r="107" spans="1:36" x14ac:dyDescent="0.2">
      <c r="A107" s="3" t="s">
        <v>1063</v>
      </c>
      <c r="B107" s="3" t="s">
        <v>1064</v>
      </c>
      <c r="C107" s="3" t="s">
        <v>1065</v>
      </c>
      <c r="D107" s="3" t="s">
        <v>1066</v>
      </c>
      <c r="E107" s="3" t="s">
        <v>1067</v>
      </c>
      <c r="F107" s="3" t="s">
        <v>129</v>
      </c>
      <c r="G107" s="3" t="s">
        <v>78</v>
      </c>
      <c r="H107" s="3" t="s">
        <v>457</v>
      </c>
      <c r="I107" s="3" t="s">
        <v>80</v>
      </c>
      <c r="J107" s="3" t="s">
        <v>130</v>
      </c>
      <c r="K107" s="3" t="s">
        <v>1068</v>
      </c>
      <c r="L107" s="3" t="s">
        <v>1069</v>
      </c>
      <c r="M107" s="3" t="s">
        <v>242</v>
      </c>
      <c r="N107" s="3" t="s">
        <v>85</v>
      </c>
      <c r="O107" s="3" t="s">
        <v>219</v>
      </c>
      <c r="P107" s="3">
        <v>2025</v>
      </c>
      <c r="Q107" s="3" t="s">
        <v>1070</v>
      </c>
      <c r="R107" s="3" t="s">
        <v>170</v>
      </c>
      <c r="S107" s="3" t="s">
        <v>1071</v>
      </c>
      <c r="T107" s="3" t="s">
        <v>90</v>
      </c>
      <c r="U107" s="3" t="s">
        <v>86</v>
      </c>
      <c r="V107" s="3" t="s">
        <v>1072</v>
      </c>
      <c r="W107" s="3" t="s">
        <v>1073</v>
      </c>
      <c r="X107" s="3" t="s">
        <v>1074</v>
      </c>
      <c r="Y107" s="3" t="s">
        <v>1075</v>
      </c>
      <c r="Z107" s="3" t="s">
        <v>1076</v>
      </c>
      <c r="AA107" s="3" t="s">
        <v>96</v>
      </c>
      <c r="AB107" s="3">
        <v>39</v>
      </c>
      <c r="AC107" s="3">
        <f t="shared" si="9"/>
        <v>0</v>
      </c>
      <c r="AD107" s="3">
        <f t="shared" si="10"/>
        <v>1</v>
      </c>
      <c r="AG107" s="20" t="s">
        <v>1077</v>
      </c>
      <c r="AH107" s="3" t="s">
        <v>129</v>
      </c>
      <c r="AI107" s="3">
        <f t="shared" si="11"/>
        <v>0</v>
      </c>
      <c r="AJ107" s="3" t="str">
        <f ca="1">IFERROR(_xludf.MINIFS($P$2:$P$175,$A$2:$A$175,$A107,$C$2:$C$175,$C107,$AC$2:$AC$175,1),"")</f>
        <v/>
      </c>
    </row>
    <row r="108" spans="1:36" x14ac:dyDescent="0.2">
      <c r="A108" s="3" t="s">
        <v>1063</v>
      </c>
      <c r="B108" s="3" t="s">
        <v>1064</v>
      </c>
      <c r="C108" s="3" t="s">
        <v>1065</v>
      </c>
      <c r="D108" s="3" t="s">
        <v>1066</v>
      </c>
      <c r="E108" s="3" t="s">
        <v>1067</v>
      </c>
      <c r="F108" s="3" t="s">
        <v>129</v>
      </c>
      <c r="G108" s="3" t="s">
        <v>78</v>
      </c>
      <c r="H108" s="3" t="s">
        <v>457</v>
      </c>
      <c r="I108" s="3" t="s">
        <v>99</v>
      </c>
      <c r="J108" s="3" t="s">
        <v>215</v>
      </c>
      <c r="K108" s="3" t="s">
        <v>1078</v>
      </c>
      <c r="L108" s="3" t="s">
        <v>262</v>
      </c>
      <c r="M108" s="3" t="s">
        <v>84</v>
      </c>
      <c r="N108" s="3" t="s">
        <v>85</v>
      </c>
      <c r="O108" s="3" t="s">
        <v>135</v>
      </c>
      <c r="P108" s="3">
        <v>2018</v>
      </c>
      <c r="Q108" s="3" t="s">
        <v>1079</v>
      </c>
      <c r="R108" s="3" t="s">
        <v>170</v>
      </c>
      <c r="S108" s="3" t="s">
        <v>1080</v>
      </c>
      <c r="T108" s="3" t="s">
        <v>90</v>
      </c>
      <c r="U108" s="3" t="s">
        <v>222</v>
      </c>
      <c r="V108" s="3" t="s">
        <v>1081</v>
      </c>
      <c r="W108" s="3" t="s">
        <v>1082</v>
      </c>
      <c r="X108" s="3" t="s">
        <v>1083</v>
      </c>
      <c r="Y108" s="3" t="s">
        <v>1084</v>
      </c>
      <c r="Z108" s="3" t="s">
        <v>1085</v>
      </c>
      <c r="AA108" s="3" t="s">
        <v>96</v>
      </c>
      <c r="AB108" s="3">
        <v>39</v>
      </c>
      <c r="AC108" s="3">
        <f t="shared" si="9"/>
        <v>0</v>
      </c>
      <c r="AD108" s="3">
        <f t="shared" si="10"/>
        <v>1</v>
      </c>
      <c r="AH108" s="3" t="s">
        <v>129</v>
      </c>
      <c r="AI108" s="3">
        <f t="shared" si="11"/>
        <v>0</v>
      </c>
      <c r="AJ108" s="3" t="str">
        <f ca="1">IFERROR(_xludf.MINIFS($P$2:$P$175,$A$2:$A$175,$A108,$C$2:$C$175,$C108,$AC$2:$AC$175,1),"")</f>
        <v/>
      </c>
    </row>
    <row r="109" spans="1:36" x14ac:dyDescent="0.2">
      <c r="A109" s="3" t="s">
        <v>1063</v>
      </c>
      <c r="B109" s="3" t="s">
        <v>1064</v>
      </c>
      <c r="C109" s="3" t="s">
        <v>1065</v>
      </c>
      <c r="D109" s="3" t="s">
        <v>1066</v>
      </c>
      <c r="E109" s="3" t="s">
        <v>1067</v>
      </c>
      <c r="F109" s="3" t="s">
        <v>129</v>
      </c>
      <c r="G109" s="3" t="s">
        <v>78</v>
      </c>
      <c r="H109" s="3" t="s">
        <v>457</v>
      </c>
      <c r="I109" s="3" t="s">
        <v>113</v>
      </c>
      <c r="J109" s="3" t="s">
        <v>81</v>
      </c>
      <c r="K109" s="3" t="s">
        <v>1086</v>
      </c>
      <c r="L109" s="3" t="s">
        <v>1087</v>
      </c>
      <c r="M109" s="3" t="s">
        <v>84</v>
      </c>
      <c r="N109" s="3" t="s">
        <v>85</v>
      </c>
      <c r="O109" s="3" t="s">
        <v>135</v>
      </c>
      <c r="P109" s="3">
        <v>2025</v>
      </c>
      <c r="Q109" s="3" t="s">
        <v>1088</v>
      </c>
      <c r="R109" s="3" t="s">
        <v>170</v>
      </c>
      <c r="S109" s="3" t="s">
        <v>1071</v>
      </c>
      <c r="T109" s="3" t="s">
        <v>90</v>
      </c>
      <c r="U109" s="3" t="s">
        <v>86</v>
      </c>
      <c r="V109" s="3" t="s">
        <v>1089</v>
      </c>
      <c r="W109" s="3" t="s">
        <v>1090</v>
      </c>
      <c r="X109" s="3" t="s">
        <v>1091</v>
      </c>
      <c r="Y109" s="3" t="s">
        <v>1092</v>
      </c>
      <c r="Z109" s="3" t="s">
        <v>1093</v>
      </c>
      <c r="AA109" s="3" t="s">
        <v>96</v>
      </c>
      <c r="AB109" s="3">
        <v>39</v>
      </c>
      <c r="AC109" s="3">
        <f t="shared" si="9"/>
        <v>0</v>
      </c>
      <c r="AD109" s="3">
        <f t="shared" si="10"/>
        <v>1</v>
      </c>
      <c r="AH109" s="3" t="s">
        <v>129</v>
      </c>
      <c r="AI109" s="3">
        <f t="shared" si="11"/>
        <v>0</v>
      </c>
      <c r="AJ109" s="3" t="str">
        <f ca="1">IFERROR(_xludf.MINIFS($P$2:$P$175,$A$2:$A$175,$A109,$C$2:$C$175,$C109,$AC$2:$AC$175,1),"")</f>
        <v/>
      </c>
    </row>
    <row r="110" spans="1:36" x14ac:dyDescent="0.2">
      <c r="A110" s="3" t="s">
        <v>1094</v>
      </c>
      <c r="B110" s="3" t="s">
        <v>1095</v>
      </c>
      <c r="C110" s="3" t="s">
        <v>1065</v>
      </c>
      <c r="D110" s="3" t="s">
        <v>1096</v>
      </c>
      <c r="E110" s="3" t="s">
        <v>128</v>
      </c>
      <c r="F110" s="3" t="s">
        <v>77</v>
      </c>
      <c r="G110" s="3" t="s">
        <v>78</v>
      </c>
      <c r="H110" s="3" t="s">
        <v>457</v>
      </c>
      <c r="I110" s="3" t="s">
        <v>80</v>
      </c>
      <c r="J110" s="3" t="s">
        <v>215</v>
      </c>
      <c r="K110" s="3" t="s">
        <v>1097</v>
      </c>
      <c r="L110" s="3" t="s">
        <v>1098</v>
      </c>
      <c r="M110" s="3" t="s">
        <v>363</v>
      </c>
      <c r="N110" s="3" t="s">
        <v>85</v>
      </c>
      <c r="O110" s="3" t="s">
        <v>104</v>
      </c>
      <c r="P110" s="3">
        <v>2026</v>
      </c>
      <c r="Q110" s="3" t="s">
        <v>1099</v>
      </c>
      <c r="R110" s="3" t="s">
        <v>264</v>
      </c>
      <c r="S110" s="3" t="s">
        <v>1100</v>
      </c>
      <c r="T110" s="3" t="s">
        <v>90</v>
      </c>
      <c r="U110" s="3" t="s">
        <v>107</v>
      </c>
      <c r="V110" s="3" t="s">
        <v>1101</v>
      </c>
      <c r="W110" s="3" t="s">
        <v>1102</v>
      </c>
      <c r="X110" s="3" t="s">
        <v>1103</v>
      </c>
      <c r="Y110" s="3" t="s">
        <v>1104</v>
      </c>
      <c r="Z110" s="3" t="s">
        <v>1105</v>
      </c>
      <c r="AA110" s="3" t="s">
        <v>96</v>
      </c>
      <c r="AB110" s="3">
        <v>40</v>
      </c>
      <c r="AC110" s="3">
        <f t="shared" si="9"/>
        <v>0</v>
      </c>
      <c r="AD110" s="3">
        <f t="shared" si="10"/>
        <v>1</v>
      </c>
      <c r="AG110" s="20" t="s">
        <v>1106</v>
      </c>
      <c r="AH110" s="3" t="s">
        <v>98</v>
      </c>
      <c r="AI110" s="3">
        <f t="shared" si="11"/>
        <v>0</v>
      </c>
      <c r="AJ110" s="3" t="str">
        <f ca="1">IFERROR(_xludf.MINIFS($P$2:$P$175,$A$2:$A$175,$A110,$C$2:$C$175,$C110,$AC$2:$AC$175,1),"")</f>
        <v/>
      </c>
    </row>
    <row r="111" spans="1:36" x14ac:dyDescent="0.2">
      <c r="A111" s="3" t="s">
        <v>1094</v>
      </c>
      <c r="B111" s="3" t="s">
        <v>1095</v>
      </c>
      <c r="C111" s="3" t="s">
        <v>1065</v>
      </c>
      <c r="D111" s="3" t="s">
        <v>1096</v>
      </c>
      <c r="E111" s="3" t="s">
        <v>128</v>
      </c>
      <c r="F111" s="3" t="s">
        <v>77</v>
      </c>
      <c r="G111" s="3" t="s">
        <v>78</v>
      </c>
      <c r="H111" s="3" t="s">
        <v>457</v>
      </c>
      <c r="I111" s="3" t="s">
        <v>99</v>
      </c>
      <c r="J111" s="3" t="s">
        <v>81</v>
      </c>
      <c r="K111" s="3" t="s">
        <v>1107</v>
      </c>
      <c r="L111" s="3" t="s">
        <v>242</v>
      </c>
      <c r="M111" s="3" t="s">
        <v>242</v>
      </c>
      <c r="N111" s="3" t="s">
        <v>85</v>
      </c>
      <c r="O111" s="3" t="s">
        <v>219</v>
      </c>
      <c r="P111" s="3">
        <v>2025</v>
      </c>
      <c r="Q111" s="3" t="s">
        <v>1108</v>
      </c>
      <c r="R111" s="3" t="s">
        <v>170</v>
      </c>
      <c r="S111" s="3" t="s">
        <v>1080</v>
      </c>
      <c r="T111" s="3" t="s">
        <v>90</v>
      </c>
      <c r="U111" s="3" t="s">
        <v>246</v>
      </c>
      <c r="V111" s="3" t="s">
        <v>1109</v>
      </c>
      <c r="W111" s="3" t="s">
        <v>1110</v>
      </c>
      <c r="X111" s="3" t="s">
        <v>1111</v>
      </c>
      <c r="Y111" s="3" t="s">
        <v>1112</v>
      </c>
      <c r="Z111" s="3" t="s">
        <v>1113</v>
      </c>
      <c r="AA111" s="3" t="s">
        <v>96</v>
      </c>
      <c r="AB111" s="3">
        <v>40</v>
      </c>
      <c r="AC111" s="3">
        <f t="shared" si="9"/>
        <v>0</v>
      </c>
      <c r="AD111" s="3">
        <f t="shared" si="10"/>
        <v>1</v>
      </c>
      <c r="AH111" s="3" t="s">
        <v>98</v>
      </c>
      <c r="AI111" s="3">
        <f t="shared" si="11"/>
        <v>0</v>
      </c>
      <c r="AJ111" s="3" t="str">
        <f ca="1">IFERROR(_xludf.MINIFS($P$2:$P$175,$A$2:$A$175,$A111,$C$2:$C$175,$C111,$AC$2:$AC$175,1),"")</f>
        <v/>
      </c>
    </row>
    <row r="112" spans="1:36" x14ac:dyDescent="0.2">
      <c r="A112" s="3" t="s">
        <v>1094</v>
      </c>
      <c r="B112" s="3" t="s">
        <v>1095</v>
      </c>
      <c r="C112" s="3" t="s">
        <v>1065</v>
      </c>
      <c r="D112" s="3" t="s">
        <v>1096</v>
      </c>
      <c r="E112" s="3" t="s">
        <v>128</v>
      </c>
      <c r="F112" s="3" t="s">
        <v>77</v>
      </c>
      <c r="G112" s="3" t="s">
        <v>78</v>
      </c>
      <c r="H112" s="3" t="s">
        <v>457</v>
      </c>
      <c r="I112" s="3" t="s">
        <v>113</v>
      </c>
      <c r="J112" s="3" t="s">
        <v>81</v>
      </c>
      <c r="K112" s="3" t="s">
        <v>1086</v>
      </c>
      <c r="L112" s="3" t="s">
        <v>1098</v>
      </c>
      <c r="M112" s="3" t="s">
        <v>363</v>
      </c>
      <c r="N112" s="3" t="s">
        <v>85</v>
      </c>
      <c r="O112" s="3" t="s">
        <v>104</v>
      </c>
      <c r="P112" s="3">
        <v>2026</v>
      </c>
      <c r="Q112" s="3" t="s">
        <v>1099</v>
      </c>
      <c r="R112" s="3" t="s">
        <v>264</v>
      </c>
      <c r="S112" s="3" t="s">
        <v>1100</v>
      </c>
      <c r="T112" s="3" t="s">
        <v>90</v>
      </c>
      <c r="U112" s="3" t="s">
        <v>86</v>
      </c>
      <c r="V112" s="3" t="s">
        <v>1114</v>
      </c>
      <c r="W112" s="3" t="s">
        <v>1115</v>
      </c>
      <c r="X112" s="3" t="s">
        <v>1116</v>
      </c>
      <c r="Y112" s="3" t="s">
        <v>1117</v>
      </c>
      <c r="Z112" s="3" t="s">
        <v>1118</v>
      </c>
      <c r="AA112" s="3" t="s">
        <v>96</v>
      </c>
      <c r="AB112" s="3">
        <v>40</v>
      </c>
      <c r="AC112" s="3">
        <f t="shared" si="9"/>
        <v>0</v>
      </c>
      <c r="AD112" s="3">
        <f t="shared" si="10"/>
        <v>1</v>
      </c>
      <c r="AH112" s="3" t="s">
        <v>98</v>
      </c>
      <c r="AI112" s="3">
        <f t="shared" si="11"/>
        <v>0</v>
      </c>
      <c r="AJ112" s="3" t="str">
        <f ca="1">IFERROR(_xludf.MINIFS($P$2:$P$175,$A$2:$A$175,$A112,$C$2:$C$175,$C112,$AC$2:$AC$175,1),"")</f>
        <v/>
      </c>
    </row>
    <row r="113" spans="1:36" x14ac:dyDescent="0.2">
      <c r="A113" s="3" t="s">
        <v>1119</v>
      </c>
      <c r="B113" s="3" t="s">
        <v>1120</v>
      </c>
      <c r="C113" s="3" t="s">
        <v>1121</v>
      </c>
      <c r="D113" s="3" t="s">
        <v>1122</v>
      </c>
      <c r="E113" s="3" t="s">
        <v>166</v>
      </c>
      <c r="F113" s="3" t="s">
        <v>1123</v>
      </c>
      <c r="G113" s="3" t="s">
        <v>1124</v>
      </c>
      <c r="H113" s="3" t="s">
        <v>457</v>
      </c>
      <c r="I113" s="3" t="s">
        <v>80</v>
      </c>
      <c r="J113" s="3" t="s">
        <v>205</v>
      </c>
      <c r="K113" s="3" t="s">
        <v>1125</v>
      </c>
      <c r="L113" s="3" t="s">
        <v>1126</v>
      </c>
      <c r="M113" s="3" t="s">
        <v>84</v>
      </c>
      <c r="N113" s="3" t="s">
        <v>85</v>
      </c>
      <c r="O113" s="3" t="s">
        <v>135</v>
      </c>
      <c r="P113" s="3">
        <v>2024</v>
      </c>
      <c r="Q113" s="3" t="s">
        <v>1127</v>
      </c>
      <c r="R113" s="3" t="s">
        <v>170</v>
      </c>
      <c r="S113" s="3" t="s">
        <v>1128</v>
      </c>
      <c r="T113" s="3" t="s">
        <v>90</v>
      </c>
      <c r="U113" s="3" t="s">
        <v>396</v>
      </c>
      <c r="V113" s="3" t="s">
        <v>1129</v>
      </c>
      <c r="W113" s="3" t="s">
        <v>1130</v>
      </c>
      <c r="X113" s="3" t="s">
        <v>1131</v>
      </c>
      <c r="Y113" s="3"/>
      <c r="Z113" s="3" t="s">
        <v>1132</v>
      </c>
      <c r="AA113" s="3" t="s">
        <v>96</v>
      </c>
      <c r="AB113" s="3">
        <v>41</v>
      </c>
      <c r="AC113" s="3">
        <f t="shared" si="9"/>
        <v>0</v>
      </c>
      <c r="AD113" s="3">
        <f t="shared" si="10"/>
        <v>1</v>
      </c>
      <c r="AG113" s="20" t="s">
        <v>1133</v>
      </c>
      <c r="AH113" s="3" t="s">
        <v>129</v>
      </c>
      <c r="AI113" s="3">
        <f t="shared" si="11"/>
        <v>0</v>
      </c>
      <c r="AJ113" s="3" t="str">
        <f ca="1">IFERROR(_xludf.MINIFS($P$2:$P$175,$A$2:$A$175,$A113,$C$2:$C$175,$C113,$AC$2:$AC$175,1),"")</f>
        <v/>
      </c>
    </row>
    <row r="114" spans="1:36" x14ac:dyDescent="0.2">
      <c r="A114" s="3" t="s">
        <v>1119</v>
      </c>
      <c r="B114" s="3" t="s">
        <v>1120</v>
      </c>
      <c r="C114" s="3" t="s">
        <v>1121</v>
      </c>
      <c r="D114" s="3" t="s">
        <v>1122</v>
      </c>
      <c r="E114" s="3" t="s">
        <v>166</v>
      </c>
      <c r="F114" s="3" t="s">
        <v>1123</v>
      </c>
      <c r="G114" s="3" t="s">
        <v>1124</v>
      </c>
      <c r="H114" s="3" t="s">
        <v>457</v>
      </c>
      <c r="I114" s="3" t="s">
        <v>99</v>
      </c>
      <c r="J114" s="3" t="s">
        <v>205</v>
      </c>
      <c r="K114" s="3" t="s">
        <v>1134</v>
      </c>
      <c r="L114" s="3" t="s">
        <v>262</v>
      </c>
      <c r="M114" s="3" t="s">
        <v>84</v>
      </c>
      <c r="N114" s="3" t="s">
        <v>85</v>
      </c>
      <c r="O114" s="3" t="s">
        <v>135</v>
      </c>
      <c r="P114" s="3">
        <v>2025</v>
      </c>
      <c r="Q114" s="3" t="s">
        <v>1135</v>
      </c>
      <c r="R114" s="3" t="s">
        <v>170</v>
      </c>
      <c r="S114" s="3" t="s">
        <v>171</v>
      </c>
      <c r="T114" s="3" t="s">
        <v>90</v>
      </c>
      <c r="U114" s="3" t="s">
        <v>107</v>
      </c>
      <c r="V114" s="3" t="s">
        <v>1136</v>
      </c>
      <c r="W114" s="3" t="s">
        <v>1137</v>
      </c>
      <c r="X114" s="3" t="s">
        <v>1138</v>
      </c>
      <c r="Y114" s="3"/>
      <c r="Z114" s="3" t="s">
        <v>1139</v>
      </c>
      <c r="AA114" s="3" t="s">
        <v>96</v>
      </c>
      <c r="AB114" s="3">
        <v>41</v>
      </c>
      <c r="AC114" s="3">
        <f t="shared" si="9"/>
        <v>0</v>
      </c>
      <c r="AD114" s="3">
        <f t="shared" si="10"/>
        <v>1</v>
      </c>
      <c r="AH114" s="3" t="s">
        <v>129</v>
      </c>
      <c r="AI114" s="3">
        <f t="shared" si="11"/>
        <v>0</v>
      </c>
      <c r="AJ114" s="3" t="str">
        <f ca="1">IFERROR(_xludf.MINIFS($P$2:$P$175,$A$2:$A$175,$A114,$C$2:$C$175,$C114,$AC$2:$AC$175,1),"")</f>
        <v/>
      </c>
    </row>
    <row r="115" spans="1:36" x14ac:dyDescent="0.2">
      <c r="A115" s="3" t="s">
        <v>1119</v>
      </c>
      <c r="B115" s="3" t="s">
        <v>1120</v>
      </c>
      <c r="C115" s="3" t="s">
        <v>1121</v>
      </c>
      <c r="D115" s="3" t="s">
        <v>1122</v>
      </c>
      <c r="E115" s="3" t="s">
        <v>166</v>
      </c>
      <c r="F115" s="3" t="s">
        <v>1123</v>
      </c>
      <c r="G115" s="3" t="s">
        <v>1124</v>
      </c>
      <c r="H115" s="3" t="s">
        <v>457</v>
      </c>
      <c r="I115" s="3" t="s">
        <v>113</v>
      </c>
      <c r="J115" s="3" t="s">
        <v>205</v>
      </c>
      <c r="K115" s="3" t="s">
        <v>1140</v>
      </c>
      <c r="L115" s="3" t="s">
        <v>797</v>
      </c>
      <c r="M115" s="3" t="s">
        <v>84</v>
      </c>
      <c r="N115" s="3" t="s">
        <v>85</v>
      </c>
      <c r="O115" s="3" t="s">
        <v>135</v>
      </c>
      <c r="P115" s="3">
        <v>2025</v>
      </c>
      <c r="Q115" s="3" t="s">
        <v>1141</v>
      </c>
      <c r="R115" s="3" t="s">
        <v>170</v>
      </c>
      <c r="S115" s="3" t="s">
        <v>1142</v>
      </c>
      <c r="T115" s="3" t="s">
        <v>90</v>
      </c>
      <c r="U115" s="3" t="s">
        <v>222</v>
      </c>
      <c r="V115" s="3" t="s">
        <v>1143</v>
      </c>
      <c r="W115" s="3" t="s">
        <v>1144</v>
      </c>
      <c r="X115" s="3" t="s">
        <v>1145</v>
      </c>
      <c r="Y115" s="3" t="s">
        <v>1146</v>
      </c>
      <c r="Z115" s="3"/>
      <c r="AA115" s="3" t="s">
        <v>96</v>
      </c>
      <c r="AB115" s="3">
        <v>41</v>
      </c>
      <c r="AC115" s="3">
        <f t="shared" si="9"/>
        <v>0</v>
      </c>
      <c r="AD115" s="3">
        <f t="shared" si="10"/>
        <v>1</v>
      </c>
      <c r="AH115" s="3" t="s">
        <v>129</v>
      </c>
      <c r="AI115" s="3">
        <f t="shared" si="11"/>
        <v>0</v>
      </c>
      <c r="AJ115" s="3" t="str">
        <f ca="1">IFERROR(_xludf.MINIFS($P$2:$P$175,$A$2:$A$175,$A115,$C$2:$C$175,$C115,$AC$2:$AC$175,1),"")</f>
        <v/>
      </c>
    </row>
    <row r="116" spans="1:36" x14ac:dyDescent="0.2">
      <c r="A116" s="3" t="s">
        <v>1147</v>
      </c>
      <c r="B116" s="3" t="s">
        <v>1148</v>
      </c>
      <c r="C116" s="3" t="s">
        <v>1149</v>
      </c>
      <c r="D116" s="3" t="s">
        <v>1150</v>
      </c>
      <c r="E116" s="3" t="s">
        <v>591</v>
      </c>
      <c r="F116" s="3" t="s">
        <v>512</v>
      </c>
      <c r="G116" s="3" t="s">
        <v>513</v>
      </c>
      <c r="H116" s="3" t="s">
        <v>457</v>
      </c>
      <c r="I116" s="3" t="s">
        <v>80</v>
      </c>
      <c r="J116" s="3" t="s">
        <v>215</v>
      </c>
      <c r="K116" s="3" t="s">
        <v>1151</v>
      </c>
      <c r="L116" s="3" t="s">
        <v>1152</v>
      </c>
      <c r="M116" s="3" t="s">
        <v>218</v>
      </c>
      <c r="N116" s="3" t="s">
        <v>85</v>
      </c>
      <c r="O116" s="3" t="s">
        <v>219</v>
      </c>
      <c r="P116" s="3">
        <v>2023</v>
      </c>
      <c r="Q116" s="3" t="s">
        <v>1153</v>
      </c>
      <c r="R116" s="3" t="s">
        <v>170</v>
      </c>
      <c r="S116" s="3" t="s">
        <v>1154</v>
      </c>
      <c r="T116" s="3" t="s">
        <v>90</v>
      </c>
      <c r="U116" s="3" t="s">
        <v>842</v>
      </c>
      <c r="V116" s="3" t="s">
        <v>1155</v>
      </c>
      <c r="W116" s="3" t="s">
        <v>1156</v>
      </c>
      <c r="X116" s="3" t="s">
        <v>1157</v>
      </c>
      <c r="Y116" s="3" t="s">
        <v>1158</v>
      </c>
      <c r="Z116" s="3"/>
      <c r="AA116" s="3" t="s">
        <v>96</v>
      </c>
      <c r="AB116" s="3">
        <v>42</v>
      </c>
      <c r="AC116" s="3">
        <f t="shared" si="9"/>
        <v>0</v>
      </c>
      <c r="AD116" s="3">
        <f t="shared" si="10"/>
        <v>0</v>
      </c>
      <c r="AG116" s="20" t="s">
        <v>1159</v>
      </c>
      <c r="AH116" s="3" t="s">
        <v>512</v>
      </c>
      <c r="AI116" s="3">
        <f t="shared" si="11"/>
        <v>1</v>
      </c>
      <c r="AJ116" s="3" t="str">
        <f ca="1">IFERROR(_xludf.MINIFS($P$2:$P$175,$A$2:$A$175,$A116,$C$2:$C$175,$C116,$AC$2:$AC$175,1),"")</f>
        <v/>
      </c>
    </row>
    <row r="117" spans="1:36" x14ac:dyDescent="0.2">
      <c r="A117" s="3" t="s">
        <v>1147</v>
      </c>
      <c r="B117" s="3" t="s">
        <v>1148</v>
      </c>
      <c r="C117" s="3" t="s">
        <v>1149</v>
      </c>
      <c r="D117" s="3" t="s">
        <v>1150</v>
      </c>
      <c r="E117" s="3" t="s">
        <v>591</v>
      </c>
      <c r="F117" s="3" t="s">
        <v>512</v>
      </c>
      <c r="G117" s="3" t="s">
        <v>513</v>
      </c>
      <c r="H117" s="3" t="s">
        <v>457</v>
      </c>
      <c r="I117" s="3" t="s">
        <v>99</v>
      </c>
      <c r="J117" s="3" t="s">
        <v>130</v>
      </c>
      <c r="K117" s="3" t="s">
        <v>1160</v>
      </c>
      <c r="L117" s="3" t="s">
        <v>1161</v>
      </c>
      <c r="M117" s="3" t="s">
        <v>102</v>
      </c>
      <c r="N117" s="3" t="s">
        <v>103</v>
      </c>
      <c r="O117" s="3" t="s">
        <v>104</v>
      </c>
      <c r="P117" s="3">
        <v>2025</v>
      </c>
      <c r="Q117" s="3" t="s">
        <v>1162</v>
      </c>
      <c r="R117" s="3" t="s">
        <v>264</v>
      </c>
      <c r="S117" s="3" t="s">
        <v>1163</v>
      </c>
      <c r="T117" s="3" t="s">
        <v>90</v>
      </c>
      <c r="U117" s="3" t="s">
        <v>396</v>
      </c>
      <c r="V117" s="3" t="s">
        <v>1164</v>
      </c>
      <c r="W117" s="3" t="s">
        <v>1165</v>
      </c>
      <c r="X117" s="3" t="s">
        <v>1166</v>
      </c>
      <c r="Y117" s="3" t="s">
        <v>1167</v>
      </c>
      <c r="Z117" s="3"/>
      <c r="AA117" s="3" t="s">
        <v>96</v>
      </c>
      <c r="AB117" s="3">
        <v>42</v>
      </c>
      <c r="AC117" s="3">
        <f t="shared" si="9"/>
        <v>1</v>
      </c>
      <c r="AD117" s="3">
        <f t="shared" si="10"/>
        <v>1</v>
      </c>
      <c r="AH117" s="3" t="s">
        <v>512</v>
      </c>
      <c r="AI117" s="3">
        <f t="shared" si="11"/>
        <v>1</v>
      </c>
      <c r="AJ117" s="3" t="str">
        <f ca="1">IFERROR(_xludf.MINIFS($P$2:$P$175,$A$2:$A$175,$A117,$C$2:$C$175,$C117,$AC$2:$AC$175,1),"")</f>
        <v/>
      </c>
    </row>
    <row r="118" spans="1:36" x14ac:dyDescent="0.2">
      <c r="A118" s="3" t="s">
        <v>1147</v>
      </c>
      <c r="B118" s="3" t="s">
        <v>1148</v>
      </c>
      <c r="C118" s="3" t="s">
        <v>1149</v>
      </c>
      <c r="D118" s="3" t="s">
        <v>1150</v>
      </c>
      <c r="E118" s="3" t="s">
        <v>591</v>
      </c>
      <c r="F118" s="3" t="s">
        <v>512</v>
      </c>
      <c r="G118" s="3" t="s">
        <v>513</v>
      </c>
      <c r="H118" s="3" t="s">
        <v>457</v>
      </c>
      <c r="I118" s="3" t="s">
        <v>113</v>
      </c>
      <c r="J118" s="3" t="s">
        <v>81</v>
      </c>
      <c r="K118" s="3" t="s">
        <v>1168</v>
      </c>
      <c r="L118" s="3" t="s">
        <v>1169</v>
      </c>
      <c r="M118" s="3" t="s">
        <v>363</v>
      </c>
      <c r="N118" s="3" t="s">
        <v>85</v>
      </c>
      <c r="O118" s="3" t="s">
        <v>104</v>
      </c>
      <c r="P118" s="3">
        <v>2025</v>
      </c>
      <c r="Q118" s="3" t="s">
        <v>1170</v>
      </c>
      <c r="R118" s="3" t="s">
        <v>170</v>
      </c>
      <c r="S118" s="3" t="s">
        <v>1171</v>
      </c>
      <c r="T118" s="3" t="s">
        <v>90</v>
      </c>
      <c r="U118" s="3" t="s">
        <v>347</v>
      </c>
      <c r="V118" s="3" t="s">
        <v>1172</v>
      </c>
      <c r="W118" s="3" t="s">
        <v>1173</v>
      </c>
      <c r="X118" s="3" t="s">
        <v>1174</v>
      </c>
      <c r="Y118" s="3" t="s">
        <v>1175</v>
      </c>
      <c r="Z118" s="3"/>
      <c r="AA118" s="3" t="s">
        <v>96</v>
      </c>
      <c r="AB118" s="3">
        <v>42</v>
      </c>
      <c r="AC118" s="3">
        <f t="shared" si="9"/>
        <v>0</v>
      </c>
      <c r="AD118" s="3">
        <f t="shared" si="10"/>
        <v>1</v>
      </c>
      <c r="AH118" s="3" t="s">
        <v>512</v>
      </c>
      <c r="AI118" s="3">
        <f t="shared" si="11"/>
        <v>1</v>
      </c>
      <c r="AJ118" s="3" t="str">
        <f ca="1">IFERROR(_xludf.MINIFS($P$2:$P$175,$A$2:$A$175,$A118,$C$2:$C$175,$C118,$AC$2:$AC$175,1),"")</f>
        <v/>
      </c>
    </row>
    <row r="119" spans="1:36" x14ac:dyDescent="0.2">
      <c r="A119" s="3" t="s">
        <v>1176</v>
      </c>
      <c r="B119" s="3" t="s">
        <v>1177</v>
      </c>
      <c r="C119" s="3" t="s">
        <v>1178</v>
      </c>
      <c r="D119" s="3" t="s">
        <v>1179</v>
      </c>
      <c r="E119" s="3" t="s">
        <v>480</v>
      </c>
      <c r="F119" s="3" t="s">
        <v>512</v>
      </c>
      <c r="G119" s="3" t="s">
        <v>513</v>
      </c>
      <c r="H119" s="3" t="s">
        <v>457</v>
      </c>
      <c r="I119" s="3" t="s">
        <v>80</v>
      </c>
      <c r="J119" s="3" t="s">
        <v>81</v>
      </c>
      <c r="K119" s="3" t="s">
        <v>874</v>
      </c>
      <c r="L119" s="3" t="s">
        <v>993</v>
      </c>
      <c r="M119" s="3" t="s">
        <v>133</v>
      </c>
      <c r="N119" s="3" t="s">
        <v>134</v>
      </c>
      <c r="O119" s="3" t="s">
        <v>104</v>
      </c>
      <c r="P119" s="3">
        <v>2025</v>
      </c>
      <c r="Q119" s="3" t="s">
        <v>1180</v>
      </c>
      <c r="R119" s="3" t="s">
        <v>170</v>
      </c>
      <c r="S119" s="3" t="s">
        <v>1181</v>
      </c>
      <c r="T119" s="3" t="s">
        <v>90</v>
      </c>
      <c r="U119" s="3" t="s">
        <v>86</v>
      </c>
      <c r="V119" s="3" t="s">
        <v>1182</v>
      </c>
      <c r="W119" s="3" t="s">
        <v>1183</v>
      </c>
      <c r="X119" s="3" t="s">
        <v>1184</v>
      </c>
      <c r="Y119" s="3" t="s">
        <v>1185</v>
      </c>
      <c r="Z119" s="3"/>
      <c r="AA119" s="3" t="s">
        <v>96</v>
      </c>
      <c r="AB119" s="3">
        <v>43</v>
      </c>
      <c r="AC119" s="3">
        <f t="shared" si="9"/>
        <v>1</v>
      </c>
      <c r="AD119" s="3">
        <f t="shared" si="10"/>
        <v>1</v>
      </c>
      <c r="AG119" s="20" t="s">
        <v>1186</v>
      </c>
      <c r="AH119" s="3" t="s">
        <v>512</v>
      </c>
      <c r="AI119" s="3">
        <f t="shared" si="11"/>
        <v>1</v>
      </c>
      <c r="AJ119" s="3" t="str">
        <f ca="1">IFERROR(_xludf.MINIFS($P$2:$P$175,$A$2:$A$175,$A119,$C$2:$C$175,$C119,$AC$2:$AC$175,1),"")</f>
        <v/>
      </c>
    </row>
    <row r="120" spans="1:36" x14ac:dyDescent="0.2">
      <c r="A120" s="3" t="s">
        <v>1176</v>
      </c>
      <c r="B120" s="3" t="s">
        <v>1177</v>
      </c>
      <c r="C120" s="3" t="s">
        <v>1178</v>
      </c>
      <c r="D120" s="3" t="s">
        <v>1179</v>
      </c>
      <c r="E120" s="3" t="s">
        <v>480</v>
      </c>
      <c r="F120" s="3" t="s">
        <v>512</v>
      </c>
      <c r="G120" s="3" t="s">
        <v>513</v>
      </c>
      <c r="H120" s="3" t="s">
        <v>457</v>
      </c>
      <c r="I120" s="3" t="s">
        <v>99</v>
      </c>
      <c r="J120" s="3" t="s">
        <v>81</v>
      </c>
      <c r="K120" s="3" t="s">
        <v>1187</v>
      </c>
      <c r="L120" s="3" t="s">
        <v>262</v>
      </c>
      <c r="M120" s="3" t="s">
        <v>84</v>
      </c>
      <c r="N120" s="3" t="s">
        <v>85</v>
      </c>
      <c r="O120" s="3" t="s">
        <v>135</v>
      </c>
      <c r="P120" s="3">
        <v>2018</v>
      </c>
      <c r="Q120" s="3" t="s">
        <v>1188</v>
      </c>
      <c r="R120" s="3" t="s">
        <v>170</v>
      </c>
      <c r="S120" s="3" t="s">
        <v>1189</v>
      </c>
      <c r="T120" s="3" t="s">
        <v>90</v>
      </c>
      <c r="U120" s="3" t="s">
        <v>396</v>
      </c>
      <c r="V120" s="3" t="s">
        <v>1190</v>
      </c>
      <c r="W120" s="3" t="s">
        <v>1191</v>
      </c>
      <c r="X120" s="3" t="s">
        <v>1192</v>
      </c>
      <c r="Y120" s="3"/>
      <c r="Z120" s="3" t="s">
        <v>1193</v>
      </c>
      <c r="AA120" s="3" t="s">
        <v>96</v>
      </c>
      <c r="AB120" s="3">
        <v>43</v>
      </c>
      <c r="AC120" s="3">
        <f t="shared" si="9"/>
        <v>0</v>
      </c>
      <c r="AD120" s="3">
        <f t="shared" si="10"/>
        <v>1</v>
      </c>
      <c r="AH120" s="3" t="s">
        <v>512</v>
      </c>
      <c r="AI120" s="3">
        <f t="shared" si="11"/>
        <v>1</v>
      </c>
      <c r="AJ120" s="3" t="str">
        <f ca="1">IFERROR(_xludf.MINIFS($P$2:$P$175,$A$2:$A$175,$A120,$C$2:$C$175,$C120,$AC$2:$AC$175,1),"")</f>
        <v/>
      </c>
    </row>
    <row r="121" spans="1:36" x14ac:dyDescent="0.2">
      <c r="A121" s="3" t="s">
        <v>1176</v>
      </c>
      <c r="B121" s="3" t="s">
        <v>1177</v>
      </c>
      <c r="C121" s="3" t="s">
        <v>1178</v>
      </c>
      <c r="D121" s="3" t="s">
        <v>1179</v>
      </c>
      <c r="E121" s="3" t="s">
        <v>480</v>
      </c>
      <c r="F121" s="3" t="s">
        <v>512</v>
      </c>
      <c r="G121" s="3" t="s">
        <v>513</v>
      </c>
      <c r="H121" s="3" t="s">
        <v>457</v>
      </c>
      <c r="I121" s="3" t="s">
        <v>113</v>
      </c>
      <c r="J121" s="3" t="s">
        <v>130</v>
      </c>
      <c r="K121" s="3" t="s">
        <v>1194</v>
      </c>
      <c r="L121" s="3" t="s">
        <v>1195</v>
      </c>
      <c r="M121" s="3" t="s">
        <v>84</v>
      </c>
      <c r="N121" s="3" t="s">
        <v>85</v>
      </c>
      <c r="O121" s="3" t="s">
        <v>135</v>
      </c>
      <c r="P121" s="3">
        <v>2018</v>
      </c>
      <c r="Q121" s="3" t="s">
        <v>1196</v>
      </c>
      <c r="R121" s="3" t="s">
        <v>170</v>
      </c>
      <c r="S121" s="3" t="s">
        <v>171</v>
      </c>
      <c r="T121" s="3" t="s">
        <v>90</v>
      </c>
      <c r="U121" s="3" t="s">
        <v>222</v>
      </c>
      <c r="V121" s="3" t="s">
        <v>1197</v>
      </c>
      <c r="W121" s="3" t="s">
        <v>1198</v>
      </c>
      <c r="X121" s="3" t="s">
        <v>1199</v>
      </c>
      <c r="Y121" s="3" t="s">
        <v>1200</v>
      </c>
      <c r="Z121" s="3"/>
      <c r="AA121" s="3" t="s">
        <v>96</v>
      </c>
      <c r="AB121" s="3">
        <v>43</v>
      </c>
      <c r="AC121" s="3">
        <f t="shared" si="9"/>
        <v>0</v>
      </c>
      <c r="AD121" s="3">
        <f t="shared" si="10"/>
        <v>1</v>
      </c>
      <c r="AH121" s="3" t="s">
        <v>512</v>
      </c>
      <c r="AI121" s="3">
        <f t="shared" si="11"/>
        <v>1</v>
      </c>
      <c r="AJ121" s="3" t="str">
        <f ca="1">IFERROR(_xludf.MINIFS($P$2:$P$175,$A$2:$A$175,$A121,$C$2:$C$175,$C121,$AC$2:$AC$175,1),"")</f>
        <v/>
      </c>
    </row>
    <row r="122" spans="1:36" x14ac:dyDescent="0.2">
      <c r="A122" s="3" t="s">
        <v>1201</v>
      </c>
      <c r="B122" s="3" t="s">
        <v>1202</v>
      </c>
      <c r="C122" s="3" t="s">
        <v>1203</v>
      </c>
      <c r="D122" s="3" t="s">
        <v>1204</v>
      </c>
      <c r="E122" s="3" t="s">
        <v>544</v>
      </c>
      <c r="F122" s="3" t="s">
        <v>512</v>
      </c>
      <c r="G122" s="3" t="s">
        <v>513</v>
      </c>
      <c r="H122" s="3" t="s">
        <v>457</v>
      </c>
      <c r="I122" s="3" t="s">
        <v>80</v>
      </c>
      <c r="J122" s="3" t="s">
        <v>215</v>
      </c>
      <c r="K122" s="3" t="s">
        <v>1205</v>
      </c>
      <c r="L122" s="3" t="s">
        <v>1206</v>
      </c>
      <c r="M122" s="3" t="s">
        <v>363</v>
      </c>
      <c r="N122" s="3" t="s">
        <v>85</v>
      </c>
      <c r="O122" s="3" t="s">
        <v>104</v>
      </c>
      <c r="P122" s="3">
        <v>2023</v>
      </c>
      <c r="Q122" s="3" t="s">
        <v>1207</v>
      </c>
      <c r="R122" s="3" t="s">
        <v>170</v>
      </c>
      <c r="S122" s="3" t="s">
        <v>171</v>
      </c>
      <c r="T122" s="3" t="s">
        <v>90</v>
      </c>
      <c r="U122" s="3" t="s">
        <v>222</v>
      </c>
      <c r="V122" s="3" t="s">
        <v>1208</v>
      </c>
      <c r="W122" s="3" t="s">
        <v>1209</v>
      </c>
      <c r="X122" s="3" t="s">
        <v>1210</v>
      </c>
      <c r="Y122" s="3" t="s">
        <v>1211</v>
      </c>
      <c r="Z122" s="3"/>
      <c r="AA122" s="3" t="s">
        <v>96</v>
      </c>
      <c r="AB122" s="3">
        <v>44</v>
      </c>
      <c r="AC122" s="3">
        <f t="shared" si="9"/>
        <v>0</v>
      </c>
      <c r="AD122" s="3">
        <f t="shared" si="10"/>
        <v>1</v>
      </c>
      <c r="AG122" s="20" t="s">
        <v>1212</v>
      </c>
      <c r="AH122" s="3" t="s">
        <v>512</v>
      </c>
      <c r="AI122" s="3">
        <f t="shared" si="11"/>
        <v>0</v>
      </c>
      <c r="AJ122" s="3" t="str">
        <f ca="1">IFERROR(_xludf.MINIFS($P$2:$P$175,$A$2:$A$175,$A122,$C$2:$C$175,$C122,$AC$2:$AC$175,1),"")</f>
        <v/>
      </c>
    </row>
    <row r="123" spans="1:36" x14ac:dyDescent="0.2">
      <c r="A123" s="3" t="s">
        <v>1201</v>
      </c>
      <c r="B123" s="3" t="s">
        <v>1202</v>
      </c>
      <c r="C123" s="3" t="s">
        <v>1203</v>
      </c>
      <c r="D123" s="3" t="s">
        <v>1204</v>
      </c>
      <c r="E123" s="3" t="s">
        <v>544</v>
      </c>
      <c r="F123" s="3" t="s">
        <v>512</v>
      </c>
      <c r="G123" s="3" t="s">
        <v>513</v>
      </c>
      <c r="H123" s="3" t="s">
        <v>457</v>
      </c>
      <c r="I123" s="3" t="s">
        <v>99</v>
      </c>
      <c r="J123" s="3" t="s">
        <v>252</v>
      </c>
      <c r="K123" s="3" t="s">
        <v>1213</v>
      </c>
      <c r="L123" s="3" t="s">
        <v>1213</v>
      </c>
      <c r="M123" s="3" t="s">
        <v>218</v>
      </c>
      <c r="N123" s="3" t="s">
        <v>85</v>
      </c>
      <c r="O123" s="3" t="s">
        <v>104</v>
      </c>
      <c r="P123" s="3"/>
      <c r="Q123" s="3" t="s">
        <v>1213</v>
      </c>
      <c r="R123" s="3" t="s">
        <v>221</v>
      </c>
      <c r="S123" s="3" t="s">
        <v>1213</v>
      </c>
      <c r="T123" s="3" t="s">
        <v>90</v>
      </c>
      <c r="U123" s="3" t="s">
        <v>222</v>
      </c>
      <c r="V123" s="3" t="s">
        <v>1213</v>
      </c>
      <c r="W123" s="3" t="s">
        <v>1213</v>
      </c>
      <c r="X123" s="3" t="s">
        <v>1213</v>
      </c>
      <c r="Y123" s="3" t="s">
        <v>1213</v>
      </c>
      <c r="Z123" s="3" t="s">
        <v>1213</v>
      </c>
      <c r="AA123" s="3" t="s">
        <v>96</v>
      </c>
      <c r="AB123" s="3">
        <v>44</v>
      </c>
      <c r="AC123" s="3">
        <f t="shared" si="9"/>
        <v>0</v>
      </c>
      <c r="AD123" s="3">
        <f t="shared" si="10"/>
        <v>0</v>
      </c>
      <c r="AH123" s="3" t="s">
        <v>512</v>
      </c>
      <c r="AI123" s="3">
        <f t="shared" si="11"/>
        <v>0</v>
      </c>
      <c r="AJ123" s="3" t="str">
        <f ca="1">IFERROR(_xludf.MINIFS($P$2:$P$175,$A$2:$A$175,$A123,$C$2:$C$175,$C123,$AC$2:$AC$175,1),"")</f>
        <v/>
      </c>
    </row>
    <row r="124" spans="1:36" x14ac:dyDescent="0.2">
      <c r="A124" s="3" t="s">
        <v>1201</v>
      </c>
      <c r="B124" s="3" t="s">
        <v>1202</v>
      </c>
      <c r="C124" s="3" t="s">
        <v>1203</v>
      </c>
      <c r="D124" s="3" t="s">
        <v>1204</v>
      </c>
      <c r="E124" s="3" t="s">
        <v>544</v>
      </c>
      <c r="F124" s="3" t="s">
        <v>512</v>
      </c>
      <c r="G124" s="3" t="s">
        <v>513</v>
      </c>
      <c r="H124" s="3" t="s">
        <v>457</v>
      </c>
      <c r="I124" s="3" t="s">
        <v>113</v>
      </c>
      <c r="J124" s="3" t="s">
        <v>239</v>
      </c>
      <c r="K124" s="3" t="s">
        <v>1214</v>
      </c>
      <c r="L124" s="3" t="s">
        <v>1215</v>
      </c>
      <c r="M124" s="3" t="s">
        <v>218</v>
      </c>
      <c r="N124" s="3" t="s">
        <v>85</v>
      </c>
      <c r="O124" s="3" t="s">
        <v>104</v>
      </c>
      <c r="P124" s="3">
        <v>2022</v>
      </c>
      <c r="Q124" s="3" t="s">
        <v>1216</v>
      </c>
      <c r="R124" s="3" t="s">
        <v>170</v>
      </c>
      <c r="S124" s="3" t="s">
        <v>1217</v>
      </c>
      <c r="T124" s="3" t="s">
        <v>90</v>
      </c>
      <c r="U124" s="3" t="s">
        <v>86</v>
      </c>
      <c r="V124" s="3" t="s">
        <v>1218</v>
      </c>
      <c r="W124" s="3" t="s">
        <v>1219</v>
      </c>
      <c r="X124" s="3" t="s">
        <v>1220</v>
      </c>
      <c r="Y124" s="3" t="s">
        <v>1221</v>
      </c>
      <c r="Z124" s="3"/>
      <c r="AA124" s="3" t="s">
        <v>96</v>
      </c>
      <c r="AB124" s="3">
        <v>44</v>
      </c>
      <c r="AC124" s="3">
        <f t="shared" si="9"/>
        <v>0</v>
      </c>
      <c r="AD124" s="3">
        <f t="shared" si="10"/>
        <v>0</v>
      </c>
      <c r="AH124" s="3" t="s">
        <v>512</v>
      </c>
      <c r="AI124" s="3">
        <f t="shared" si="11"/>
        <v>0</v>
      </c>
      <c r="AJ124" s="3" t="str">
        <f ca="1">IFERROR(_xludf.MINIFS($P$2:$P$175,$A$2:$A$175,$A124,$C$2:$C$175,$C124,$AC$2:$AC$175,1),"")</f>
        <v/>
      </c>
    </row>
    <row r="125" spans="1:36" x14ac:dyDescent="0.2">
      <c r="A125" s="3" t="s">
        <v>1222</v>
      </c>
      <c r="B125" s="3" t="s">
        <v>1223</v>
      </c>
      <c r="C125" s="3" t="s">
        <v>1224</v>
      </c>
      <c r="D125" s="3" t="s">
        <v>1225</v>
      </c>
      <c r="E125" s="3" t="s">
        <v>166</v>
      </c>
      <c r="F125" s="3" t="s">
        <v>167</v>
      </c>
      <c r="G125" s="3" t="s">
        <v>1124</v>
      </c>
      <c r="H125" s="3" t="s">
        <v>79</v>
      </c>
      <c r="I125" s="3" t="s">
        <v>80</v>
      </c>
      <c r="J125" s="3" t="s">
        <v>81</v>
      </c>
      <c r="K125" s="3" t="s">
        <v>1226</v>
      </c>
      <c r="L125" s="3" t="s">
        <v>1227</v>
      </c>
      <c r="M125" s="3" t="s">
        <v>133</v>
      </c>
      <c r="N125" s="3" t="s">
        <v>134</v>
      </c>
      <c r="O125" s="3" t="s">
        <v>104</v>
      </c>
      <c r="P125" s="3">
        <v>2026</v>
      </c>
      <c r="Q125" s="3" t="s">
        <v>1228</v>
      </c>
      <c r="R125" s="3" t="s">
        <v>170</v>
      </c>
      <c r="S125" s="3" t="s">
        <v>1229</v>
      </c>
      <c r="T125" s="3" t="s">
        <v>90</v>
      </c>
      <c r="U125" s="3" t="s">
        <v>157</v>
      </c>
      <c r="V125" s="3" t="s">
        <v>1230</v>
      </c>
      <c r="W125" s="3" t="s">
        <v>1231</v>
      </c>
      <c r="X125" s="3" t="s">
        <v>1232</v>
      </c>
      <c r="Y125" s="3" t="s">
        <v>1233</v>
      </c>
      <c r="Z125" s="3" t="s">
        <v>1234</v>
      </c>
      <c r="AA125" s="3" t="s">
        <v>96</v>
      </c>
      <c r="AB125" s="3">
        <v>45</v>
      </c>
      <c r="AC125" s="3">
        <f t="shared" si="9"/>
        <v>1</v>
      </c>
      <c r="AD125" s="3">
        <f t="shared" si="10"/>
        <v>1</v>
      </c>
      <c r="AE125" s="19">
        <v>10600000</v>
      </c>
      <c r="AF125" s="19">
        <v>28300000</v>
      </c>
      <c r="AG125" s="20" t="s">
        <v>1235</v>
      </c>
      <c r="AH125" s="3" t="s">
        <v>178</v>
      </c>
      <c r="AI125" s="3">
        <f t="shared" si="11"/>
        <v>1</v>
      </c>
      <c r="AJ125" s="3" t="str">
        <f ca="1">IFERROR(_xludf.MINIFS($P$2:$P$175,$A$2:$A$175,$A125,$C$2:$C$175,$C125,$AC$2:$AC$175,1),"")</f>
        <v/>
      </c>
    </row>
    <row r="126" spans="1:36" x14ac:dyDescent="0.2">
      <c r="A126" s="3" t="s">
        <v>1222</v>
      </c>
      <c r="B126" s="3" t="s">
        <v>1223</v>
      </c>
      <c r="C126" s="3" t="s">
        <v>1224</v>
      </c>
      <c r="D126" s="3" t="s">
        <v>1225</v>
      </c>
      <c r="E126" s="3" t="s">
        <v>166</v>
      </c>
      <c r="F126" s="3" t="s">
        <v>167</v>
      </c>
      <c r="G126" s="3" t="s">
        <v>1124</v>
      </c>
      <c r="H126" s="3" t="s">
        <v>79</v>
      </c>
      <c r="I126" s="3" t="s">
        <v>99</v>
      </c>
      <c r="J126" s="3" t="s">
        <v>205</v>
      </c>
      <c r="K126" s="3" t="s">
        <v>1236</v>
      </c>
      <c r="L126" s="3" t="s">
        <v>1237</v>
      </c>
      <c r="M126" s="3" t="s">
        <v>133</v>
      </c>
      <c r="N126" s="3" t="s">
        <v>134</v>
      </c>
      <c r="O126" s="3" t="s">
        <v>104</v>
      </c>
      <c r="P126" s="3">
        <v>2025</v>
      </c>
      <c r="Q126" s="3" t="s">
        <v>1238</v>
      </c>
      <c r="R126" s="3" t="s">
        <v>170</v>
      </c>
      <c r="S126" s="3" t="s">
        <v>1229</v>
      </c>
      <c r="T126" s="3" t="s">
        <v>90</v>
      </c>
      <c r="U126" s="3" t="s">
        <v>86</v>
      </c>
      <c r="V126" s="3" t="s">
        <v>446</v>
      </c>
      <c r="W126" s="3" t="s">
        <v>1239</v>
      </c>
      <c r="X126" s="3" t="s">
        <v>1240</v>
      </c>
      <c r="Y126" s="3" t="s">
        <v>1241</v>
      </c>
      <c r="Z126" s="3" t="s">
        <v>1242</v>
      </c>
      <c r="AA126" s="3" t="s">
        <v>96</v>
      </c>
      <c r="AB126" s="3">
        <v>45</v>
      </c>
      <c r="AC126" s="3">
        <f t="shared" si="9"/>
        <v>1</v>
      </c>
      <c r="AD126" s="3">
        <f t="shared" si="10"/>
        <v>1</v>
      </c>
      <c r="AH126" s="3" t="s">
        <v>178</v>
      </c>
      <c r="AI126" s="3">
        <f t="shared" si="11"/>
        <v>1</v>
      </c>
      <c r="AJ126" s="3" t="str">
        <f ca="1">IFERROR(_xludf.MINIFS($P$2:$P$175,$A$2:$A$175,$A126,$C$2:$C$175,$C126,$AC$2:$AC$175,1),"")</f>
        <v/>
      </c>
    </row>
    <row r="127" spans="1:36" x14ac:dyDescent="0.2">
      <c r="A127" s="3" t="s">
        <v>1222</v>
      </c>
      <c r="B127" s="3" t="s">
        <v>1223</v>
      </c>
      <c r="C127" s="3" t="s">
        <v>1224</v>
      </c>
      <c r="D127" s="3" t="s">
        <v>1225</v>
      </c>
      <c r="E127" s="3" t="s">
        <v>166</v>
      </c>
      <c r="F127" s="3" t="s">
        <v>167</v>
      </c>
      <c r="G127" s="3" t="s">
        <v>1124</v>
      </c>
      <c r="H127" s="3" t="s">
        <v>79</v>
      </c>
      <c r="I127" s="3" t="s">
        <v>113</v>
      </c>
      <c r="J127" s="3" t="s">
        <v>205</v>
      </c>
      <c r="K127" s="3" t="s">
        <v>1243</v>
      </c>
      <c r="L127" s="3" t="s">
        <v>797</v>
      </c>
      <c r="M127" s="3" t="s">
        <v>84</v>
      </c>
      <c r="N127" s="3" t="s">
        <v>85</v>
      </c>
      <c r="O127" s="3" t="s">
        <v>135</v>
      </c>
      <c r="P127" s="3">
        <v>2025</v>
      </c>
      <c r="Q127" s="3" t="s">
        <v>1244</v>
      </c>
      <c r="R127" s="3" t="s">
        <v>170</v>
      </c>
      <c r="S127" s="3" t="s">
        <v>1229</v>
      </c>
      <c r="T127" s="3" t="s">
        <v>90</v>
      </c>
      <c r="U127" s="3" t="s">
        <v>107</v>
      </c>
      <c r="V127" s="3" t="s">
        <v>1245</v>
      </c>
      <c r="W127" s="3" t="s">
        <v>1246</v>
      </c>
      <c r="X127" s="3" t="s">
        <v>1247</v>
      </c>
      <c r="Y127" s="3" t="s">
        <v>1248</v>
      </c>
      <c r="Z127" s="3" t="s">
        <v>1249</v>
      </c>
      <c r="AA127" s="3" t="s">
        <v>96</v>
      </c>
      <c r="AB127" s="3">
        <v>45</v>
      </c>
      <c r="AC127" s="3">
        <f t="shared" si="9"/>
        <v>0</v>
      </c>
      <c r="AD127" s="3">
        <f t="shared" si="10"/>
        <v>1</v>
      </c>
      <c r="AH127" s="3" t="s">
        <v>178</v>
      </c>
      <c r="AI127" s="3">
        <f t="shared" si="11"/>
        <v>1</v>
      </c>
      <c r="AJ127" s="3" t="str">
        <f ca="1">IFERROR(_xludf.MINIFS($P$2:$P$175,$A$2:$A$175,$A127,$C$2:$C$175,$C127,$AC$2:$AC$175,1),"")</f>
        <v/>
      </c>
    </row>
    <row r="128" spans="1:36" x14ac:dyDescent="0.2">
      <c r="A128" s="3" t="s">
        <v>1250</v>
      </c>
      <c r="B128" s="3" t="s">
        <v>1251</v>
      </c>
      <c r="C128" s="3" t="s">
        <v>1252</v>
      </c>
      <c r="D128" s="3" t="s">
        <v>1253</v>
      </c>
      <c r="E128" s="3" t="s">
        <v>1254</v>
      </c>
      <c r="F128" s="3" t="s">
        <v>1255</v>
      </c>
      <c r="G128" s="3" t="s">
        <v>1256</v>
      </c>
      <c r="H128" s="3" t="s">
        <v>457</v>
      </c>
      <c r="I128" s="3" t="s">
        <v>80</v>
      </c>
      <c r="J128" s="3" t="s">
        <v>81</v>
      </c>
      <c r="K128" s="3" t="s">
        <v>1226</v>
      </c>
      <c r="L128" s="3" t="s">
        <v>1257</v>
      </c>
      <c r="M128" s="3" t="s">
        <v>133</v>
      </c>
      <c r="N128" s="3" t="s">
        <v>134</v>
      </c>
      <c r="O128" s="3" t="s">
        <v>104</v>
      </c>
      <c r="P128" s="3">
        <v>2024</v>
      </c>
      <c r="Q128" s="3" t="s">
        <v>1258</v>
      </c>
      <c r="R128" s="3" t="s">
        <v>264</v>
      </c>
      <c r="S128" s="3" t="s">
        <v>1259</v>
      </c>
      <c r="T128" s="3" t="s">
        <v>90</v>
      </c>
      <c r="U128" s="3" t="s">
        <v>222</v>
      </c>
      <c r="V128" s="3" t="s">
        <v>1260</v>
      </c>
      <c r="W128" s="3" t="s">
        <v>1261</v>
      </c>
      <c r="X128" s="3" t="s">
        <v>1262</v>
      </c>
      <c r="Y128" s="3" t="s">
        <v>1263</v>
      </c>
      <c r="Z128" s="3" t="s">
        <v>1264</v>
      </c>
      <c r="AA128" s="3" t="s">
        <v>96</v>
      </c>
      <c r="AB128" s="3">
        <v>46</v>
      </c>
      <c r="AC128" s="3">
        <f t="shared" si="9"/>
        <v>1</v>
      </c>
      <c r="AD128" s="3">
        <f t="shared" si="10"/>
        <v>1</v>
      </c>
      <c r="AG128" s="20" t="s">
        <v>1265</v>
      </c>
      <c r="AH128" s="3" t="s">
        <v>129</v>
      </c>
      <c r="AI128" s="3">
        <f t="shared" si="11"/>
        <v>1</v>
      </c>
      <c r="AJ128" s="3" t="str">
        <f ca="1">IFERROR(_xludf.MINIFS($P$2:$P$175,$A$2:$A$175,$A128,$C$2:$C$175,$C128,$AC$2:$AC$175,1),"")</f>
        <v/>
      </c>
    </row>
    <row r="129" spans="1:36" x14ac:dyDescent="0.2">
      <c r="A129" s="3" t="s">
        <v>1250</v>
      </c>
      <c r="B129" s="3" t="s">
        <v>1251</v>
      </c>
      <c r="C129" s="3" t="s">
        <v>1252</v>
      </c>
      <c r="D129" s="3" t="s">
        <v>1253</v>
      </c>
      <c r="E129" s="3" t="s">
        <v>1254</v>
      </c>
      <c r="F129" s="3" t="s">
        <v>1255</v>
      </c>
      <c r="G129" s="3" t="s">
        <v>1256</v>
      </c>
      <c r="H129" s="3" t="s">
        <v>457</v>
      </c>
      <c r="I129" s="3" t="s">
        <v>99</v>
      </c>
      <c r="J129" s="3" t="s">
        <v>81</v>
      </c>
      <c r="K129" s="3" t="s">
        <v>1266</v>
      </c>
      <c r="L129" s="3" t="s">
        <v>1257</v>
      </c>
      <c r="M129" s="3" t="s">
        <v>133</v>
      </c>
      <c r="N129" s="3" t="s">
        <v>134</v>
      </c>
      <c r="O129" s="3" t="s">
        <v>104</v>
      </c>
      <c r="P129" s="3">
        <v>2024</v>
      </c>
      <c r="Q129" s="3" t="s">
        <v>1267</v>
      </c>
      <c r="R129" s="3" t="s">
        <v>264</v>
      </c>
      <c r="S129" s="3" t="s">
        <v>1268</v>
      </c>
      <c r="T129" s="3" t="s">
        <v>90</v>
      </c>
      <c r="U129" s="3" t="s">
        <v>222</v>
      </c>
      <c r="V129" s="3" t="s">
        <v>1269</v>
      </c>
      <c r="W129" s="3" t="s">
        <v>1270</v>
      </c>
      <c r="X129" s="3" t="s">
        <v>1271</v>
      </c>
      <c r="Y129" s="3" t="s">
        <v>1272</v>
      </c>
      <c r="Z129" s="3" t="s">
        <v>1273</v>
      </c>
      <c r="AA129" s="3" t="s">
        <v>96</v>
      </c>
      <c r="AB129" s="3">
        <v>46</v>
      </c>
      <c r="AC129" s="3">
        <f t="shared" si="9"/>
        <v>1</v>
      </c>
      <c r="AD129" s="3">
        <f t="shared" si="10"/>
        <v>1</v>
      </c>
      <c r="AH129" s="3" t="s">
        <v>129</v>
      </c>
      <c r="AI129" s="3">
        <f t="shared" si="11"/>
        <v>1</v>
      </c>
      <c r="AJ129" s="3" t="str">
        <f ca="1">IFERROR(_xludf.MINIFS($P$2:$P$175,$A$2:$A$175,$A129,$C$2:$C$175,$C129,$AC$2:$AC$175,1),"")</f>
        <v/>
      </c>
    </row>
    <row r="130" spans="1:36" x14ac:dyDescent="0.2">
      <c r="A130" s="3" t="s">
        <v>1250</v>
      </c>
      <c r="B130" s="3" t="s">
        <v>1251</v>
      </c>
      <c r="C130" s="3" t="s">
        <v>1252</v>
      </c>
      <c r="D130" s="3" t="s">
        <v>1253</v>
      </c>
      <c r="E130" s="3" t="s">
        <v>1254</v>
      </c>
      <c r="F130" s="3" t="s">
        <v>1255</v>
      </c>
      <c r="G130" s="3" t="s">
        <v>1256</v>
      </c>
      <c r="H130" s="3" t="s">
        <v>457</v>
      </c>
      <c r="I130" s="3" t="s">
        <v>113</v>
      </c>
      <c r="J130" s="3" t="s">
        <v>130</v>
      </c>
      <c r="K130" s="3" t="s">
        <v>1274</v>
      </c>
      <c r="L130" s="3" t="s">
        <v>1257</v>
      </c>
      <c r="M130" s="3" t="s">
        <v>133</v>
      </c>
      <c r="N130" s="3" t="s">
        <v>134</v>
      </c>
      <c r="O130" s="3" t="s">
        <v>104</v>
      </c>
      <c r="P130" s="3">
        <v>2024</v>
      </c>
      <c r="Q130" s="3" t="s">
        <v>1275</v>
      </c>
      <c r="R130" s="3" t="s">
        <v>244</v>
      </c>
      <c r="S130" s="3" t="s">
        <v>1276</v>
      </c>
      <c r="T130" s="3" t="s">
        <v>90</v>
      </c>
      <c r="U130" s="3" t="s">
        <v>222</v>
      </c>
      <c r="V130" s="3" t="s">
        <v>1277</v>
      </c>
      <c r="W130" s="3" t="s">
        <v>1278</v>
      </c>
      <c r="X130" s="3" t="s">
        <v>1279</v>
      </c>
      <c r="Y130" s="3" t="s">
        <v>1280</v>
      </c>
      <c r="Z130" s="3" t="s">
        <v>1281</v>
      </c>
      <c r="AA130" s="3" t="s">
        <v>96</v>
      </c>
      <c r="AB130" s="3">
        <v>46</v>
      </c>
      <c r="AC130" s="3">
        <f t="shared" ref="AC130:AC161" si="12">IF(OR($M130="Positive",$M130="Restricted Positive"),1,0)</f>
        <v>1</v>
      </c>
      <c r="AD130" s="3">
        <f t="shared" ref="AD130:AD161" si="13">IF($M130="Not Evaluated",0,1)</f>
        <v>1</v>
      </c>
      <c r="AH130" s="3" t="s">
        <v>129</v>
      </c>
      <c r="AI130" s="3">
        <f t="shared" ref="AI130:AI161" si="14">IF(COUNTIFS($A$2:$A$175,$A130,$C$2:$C$175,$C130,$AC$2:$AC$175,1)&gt;0,1,0)</f>
        <v>1</v>
      </c>
      <c r="AJ130" s="3" t="str">
        <f ca="1">IFERROR(_xludf.MINIFS($P$2:$P$175,$A$2:$A$175,$A130,$C$2:$C$175,$C130,$AC$2:$AC$175,1),"")</f>
        <v/>
      </c>
    </row>
    <row r="131" spans="1:36" x14ac:dyDescent="0.2">
      <c r="A131" s="3" t="s">
        <v>1282</v>
      </c>
      <c r="B131" s="3" t="s">
        <v>1283</v>
      </c>
      <c r="C131" s="3" t="s">
        <v>1284</v>
      </c>
      <c r="D131" s="3" t="s">
        <v>1285</v>
      </c>
      <c r="E131" s="3" t="s">
        <v>1286</v>
      </c>
      <c r="F131" s="3" t="s">
        <v>1287</v>
      </c>
      <c r="G131" s="3" t="s">
        <v>1288</v>
      </c>
      <c r="H131" s="3" t="s">
        <v>79</v>
      </c>
      <c r="I131" s="3" t="s">
        <v>80</v>
      </c>
      <c r="J131" s="3" t="s">
        <v>81</v>
      </c>
      <c r="K131" s="3" t="s">
        <v>1226</v>
      </c>
      <c r="L131" s="3" t="s">
        <v>1257</v>
      </c>
      <c r="M131" s="3" t="s">
        <v>133</v>
      </c>
      <c r="N131" s="3" t="s">
        <v>134</v>
      </c>
      <c r="O131" s="3" t="s">
        <v>104</v>
      </c>
      <c r="P131" s="3"/>
      <c r="Q131" s="3" t="s">
        <v>946</v>
      </c>
      <c r="R131" s="3" t="s">
        <v>244</v>
      </c>
      <c r="S131" s="3" t="s">
        <v>1289</v>
      </c>
      <c r="T131" s="3" t="s">
        <v>90</v>
      </c>
      <c r="U131" s="3" t="s">
        <v>222</v>
      </c>
      <c r="V131" s="3" t="s">
        <v>1290</v>
      </c>
      <c r="W131" s="3" t="s">
        <v>1291</v>
      </c>
      <c r="X131" s="3" t="s">
        <v>1292</v>
      </c>
      <c r="Y131" s="3" t="s">
        <v>1293</v>
      </c>
      <c r="Z131" s="3" t="s">
        <v>1294</v>
      </c>
      <c r="AA131" s="3" t="s">
        <v>96</v>
      </c>
      <c r="AB131" s="3">
        <v>47</v>
      </c>
      <c r="AC131" s="3">
        <f t="shared" si="12"/>
        <v>1</v>
      </c>
      <c r="AD131" s="3">
        <f t="shared" si="13"/>
        <v>1</v>
      </c>
      <c r="AG131" s="20" t="s">
        <v>1295</v>
      </c>
      <c r="AH131" s="3" t="s">
        <v>129</v>
      </c>
      <c r="AI131" s="3">
        <f t="shared" si="14"/>
        <v>1</v>
      </c>
      <c r="AJ131" s="3" t="str">
        <f ca="1">IFERROR(_xludf.MINIFS($P$2:$P$175,$A$2:$A$175,$A131,$C$2:$C$175,$C131,$AC$2:$AC$175,1),"")</f>
        <v/>
      </c>
    </row>
    <row r="132" spans="1:36" x14ac:dyDescent="0.2">
      <c r="A132" s="3" t="s">
        <v>1282</v>
      </c>
      <c r="B132" s="3" t="s">
        <v>1283</v>
      </c>
      <c r="C132" s="3" t="s">
        <v>1284</v>
      </c>
      <c r="D132" s="3" t="s">
        <v>1285</v>
      </c>
      <c r="E132" s="3" t="s">
        <v>1286</v>
      </c>
      <c r="F132" s="3" t="s">
        <v>1287</v>
      </c>
      <c r="G132" s="3" t="s">
        <v>1288</v>
      </c>
      <c r="H132" s="3" t="s">
        <v>79</v>
      </c>
      <c r="I132" s="3" t="s">
        <v>99</v>
      </c>
      <c r="J132" s="3" t="s">
        <v>81</v>
      </c>
      <c r="K132" s="3" t="s">
        <v>1266</v>
      </c>
      <c r="L132" s="3" t="s">
        <v>262</v>
      </c>
      <c r="M132" s="3" t="s">
        <v>84</v>
      </c>
      <c r="N132" s="3" t="s">
        <v>85</v>
      </c>
      <c r="O132" s="3" t="s">
        <v>135</v>
      </c>
      <c r="P132" s="3"/>
      <c r="Q132" s="3" t="s">
        <v>946</v>
      </c>
      <c r="R132" s="3" t="s">
        <v>244</v>
      </c>
      <c r="S132" s="3" t="s">
        <v>1296</v>
      </c>
      <c r="T132" s="3" t="s">
        <v>90</v>
      </c>
      <c r="U132" s="3" t="s">
        <v>396</v>
      </c>
      <c r="V132" s="3" t="s">
        <v>1297</v>
      </c>
      <c r="W132" s="3" t="s">
        <v>1298</v>
      </c>
      <c r="X132" s="3" t="s">
        <v>1299</v>
      </c>
      <c r="Y132" s="3" t="s">
        <v>1300</v>
      </c>
      <c r="Z132" s="3" t="s">
        <v>1301</v>
      </c>
      <c r="AA132" s="3" t="s">
        <v>96</v>
      </c>
      <c r="AB132" s="3">
        <v>47</v>
      </c>
      <c r="AC132" s="3">
        <f t="shared" si="12"/>
        <v>0</v>
      </c>
      <c r="AD132" s="3">
        <f t="shared" si="13"/>
        <v>1</v>
      </c>
      <c r="AH132" s="3" t="s">
        <v>129</v>
      </c>
      <c r="AI132" s="3">
        <f t="shared" si="14"/>
        <v>1</v>
      </c>
      <c r="AJ132" s="3" t="str">
        <f ca="1">IFERROR(_xludf.MINIFS($P$2:$P$175,$A$2:$A$175,$A132,$C$2:$C$175,$C132,$AC$2:$AC$175,1),"")</f>
        <v/>
      </c>
    </row>
    <row r="133" spans="1:36" x14ac:dyDescent="0.2">
      <c r="A133" s="3" t="s">
        <v>1282</v>
      </c>
      <c r="B133" s="3" t="s">
        <v>1283</v>
      </c>
      <c r="C133" s="3" t="s">
        <v>1284</v>
      </c>
      <c r="D133" s="3" t="s">
        <v>1285</v>
      </c>
      <c r="E133" s="3" t="s">
        <v>1286</v>
      </c>
      <c r="F133" s="3" t="s">
        <v>1287</v>
      </c>
      <c r="G133" s="3" t="s">
        <v>1288</v>
      </c>
      <c r="H133" s="3" t="s">
        <v>79</v>
      </c>
      <c r="I133" s="3" t="s">
        <v>113</v>
      </c>
      <c r="J133" s="3" t="s">
        <v>130</v>
      </c>
      <c r="K133" s="3" t="s">
        <v>1274</v>
      </c>
      <c r="L133" s="3" t="s">
        <v>262</v>
      </c>
      <c r="M133" s="3" t="s">
        <v>84</v>
      </c>
      <c r="N133" s="3" t="s">
        <v>85</v>
      </c>
      <c r="O133" s="3" t="s">
        <v>135</v>
      </c>
      <c r="P133" s="3"/>
      <c r="Q133" s="3" t="s">
        <v>946</v>
      </c>
      <c r="R133" s="3" t="s">
        <v>244</v>
      </c>
      <c r="S133" s="3" t="s">
        <v>1276</v>
      </c>
      <c r="T133" s="3" t="s">
        <v>90</v>
      </c>
      <c r="U133" s="3" t="s">
        <v>222</v>
      </c>
      <c r="V133" s="3" t="s">
        <v>1302</v>
      </c>
      <c r="W133" s="3" t="s">
        <v>1303</v>
      </c>
      <c r="X133" s="3" t="s">
        <v>1304</v>
      </c>
      <c r="Y133" s="3" t="s">
        <v>1305</v>
      </c>
      <c r="Z133" s="3" t="s">
        <v>1306</v>
      </c>
      <c r="AA133" s="3" t="s">
        <v>96</v>
      </c>
      <c r="AB133" s="3">
        <v>47</v>
      </c>
      <c r="AC133" s="3">
        <f t="shared" si="12"/>
        <v>0</v>
      </c>
      <c r="AD133" s="3">
        <f t="shared" si="13"/>
        <v>1</v>
      </c>
      <c r="AH133" s="3" t="s">
        <v>129</v>
      </c>
      <c r="AI133" s="3">
        <f t="shared" si="14"/>
        <v>1</v>
      </c>
      <c r="AJ133" s="3" t="str">
        <f ca="1">IFERROR(_xludf.MINIFS($P$2:$P$175,$A$2:$A$175,$A133,$C$2:$C$175,$C133,$AC$2:$AC$175,1),"")</f>
        <v/>
      </c>
    </row>
    <row r="134" spans="1:36" x14ac:dyDescent="0.2">
      <c r="A134" s="3" t="s">
        <v>1307</v>
      </c>
      <c r="B134" s="3" t="s">
        <v>1308</v>
      </c>
      <c r="C134" s="3" t="s">
        <v>1309</v>
      </c>
      <c r="D134" s="3" t="s">
        <v>1310</v>
      </c>
      <c r="E134" s="3" t="s">
        <v>238</v>
      </c>
      <c r="F134" s="3" t="s">
        <v>203</v>
      </c>
      <c r="G134" s="3" t="s">
        <v>259</v>
      </c>
      <c r="H134" s="3" t="s">
        <v>457</v>
      </c>
      <c r="I134" s="3" t="s">
        <v>80</v>
      </c>
      <c r="J134" s="3" t="s">
        <v>81</v>
      </c>
      <c r="K134" s="3" t="s">
        <v>1226</v>
      </c>
      <c r="L134" s="3" t="s">
        <v>262</v>
      </c>
      <c r="M134" s="3" t="s">
        <v>84</v>
      </c>
      <c r="N134" s="3" t="s">
        <v>85</v>
      </c>
      <c r="O134" s="3" t="s">
        <v>135</v>
      </c>
      <c r="P134" s="3">
        <v>2023</v>
      </c>
      <c r="Q134" s="3" t="s">
        <v>1311</v>
      </c>
      <c r="R134" s="3" t="s">
        <v>244</v>
      </c>
      <c r="S134" s="3" t="s">
        <v>1312</v>
      </c>
      <c r="T134" s="3" t="s">
        <v>90</v>
      </c>
      <c r="U134" s="3" t="s">
        <v>86</v>
      </c>
      <c r="V134" s="3" t="s">
        <v>1313</v>
      </c>
      <c r="W134" s="3" t="s">
        <v>1314</v>
      </c>
      <c r="X134" s="3" t="s">
        <v>1315</v>
      </c>
      <c r="Y134" s="3" t="s">
        <v>1316</v>
      </c>
      <c r="Z134" s="3" t="s">
        <v>1317</v>
      </c>
      <c r="AA134" s="3" t="s">
        <v>96</v>
      </c>
      <c r="AB134" s="3">
        <v>48</v>
      </c>
      <c r="AC134" s="3">
        <f t="shared" si="12"/>
        <v>0</v>
      </c>
      <c r="AD134" s="3">
        <f t="shared" si="13"/>
        <v>1</v>
      </c>
      <c r="AG134" s="20" t="s">
        <v>1318</v>
      </c>
      <c r="AH134" s="3" t="s">
        <v>98</v>
      </c>
      <c r="AI134" s="3">
        <f t="shared" si="14"/>
        <v>0</v>
      </c>
      <c r="AJ134" s="3" t="str">
        <f ca="1">IFERROR(_xludf.MINIFS($P$2:$P$175,$A$2:$A$175,$A134,$C$2:$C$175,$C134,$AC$2:$AC$175,1),"")</f>
        <v/>
      </c>
    </row>
    <row r="135" spans="1:36" x14ac:dyDescent="0.2">
      <c r="A135" s="3" t="s">
        <v>1307</v>
      </c>
      <c r="B135" s="3" t="s">
        <v>1308</v>
      </c>
      <c r="C135" s="3" t="s">
        <v>1309</v>
      </c>
      <c r="D135" s="3" t="s">
        <v>1310</v>
      </c>
      <c r="E135" s="3" t="s">
        <v>238</v>
      </c>
      <c r="F135" s="3" t="s">
        <v>203</v>
      </c>
      <c r="G135" s="3" t="s">
        <v>259</v>
      </c>
      <c r="H135" s="3" t="s">
        <v>457</v>
      </c>
      <c r="I135" s="3" t="s">
        <v>99</v>
      </c>
      <c r="J135" s="3" t="s">
        <v>81</v>
      </c>
      <c r="K135" s="3" t="s">
        <v>1266</v>
      </c>
      <c r="L135" s="3" t="s">
        <v>797</v>
      </c>
      <c r="M135" s="3" t="s">
        <v>84</v>
      </c>
      <c r="N135" s="3" t="s">
        <v>85</v>
      </c>
      <c r="O135" s="3" t="s">
        <v>135</v>
      </c>
      <c r="P135" s="3"/>
      <c r="Q135" s="3" t="s">
        <v>242</v>
      </c>
      <c r="R135" s="3" t="s">
        <v>244</v>
      </c>
      <c r="S135" s="3" t="s">
        <v>1319</v>
      </c>
      <c r="T135" s="3" t="s">
        <v>90</v>
      </c>
      <c r="U135" s="3" t="s">
        <v>222</v>
      </c>
      <c r="V135" s="3" t="s">
        <v>1320</v>
      </c>
      <c r="W135" s="3" t="s">
        <v>1321</v>
      </c>
      <c r="X135" s="3" t="s">
        <v>1315</v>
      </c>
      <c r="Y135" s="3" t="s">
        <v>1322</v>
      </c>
      <c r="Z135" s="3" t="s">
        <v>1323</v>
      </c>
      <c r="AA135" s="3" t="s">
        <v>96</v>
      </c>
      <c r="AB135" s="3">
        <v>48</v>
      </c>
      <c r="AC135" s="3">
        <f t="shared" si="12"/>
        <v>0</v>
      </c>
      <c r="AD135" s="3">
        <f t="shared" si="13"/>
        <v>1</v>
      </c>
      <c r="AH135" s="3" t="s">
        <v>98</v>
      </c>
      <c r="AI135" s="3">
        <f t="shared" si="14"/>
        <v>0</v>
      </c>
      <c r="AJ135" s="3" t="str">
        <f ca="1">IFERROR(_xludf.MINIFS($P$2:$P$175,$A$2:$A$175,$A135,$C$2:$C$175,$C135,$AC$2:$AC$175,1),"")</f>
        <v/>
      </c>
    </row>
    <row r="136" spans="1:36" x14ac:dyDescent="0.2">
      <c r="A136" s="3" t="s">
        <v>1307</v>
      </c>
      <c r="B136" s="3" t="s">
        <v>1308</v>
      </c>
      <c r="C136" s="3" t="s">
        <v>1309</v>
      </c>
      <c r="D136" s="3" t="s">
        <v>1310</v>
      </c>
      <c r="E136" s="3" t="s">
        <v>238</v>
      </c>
      <c r="F136" s="3" t="s">
        <v>203</v>
      </c>
      <c r="G136" s="3" t="s">
        <v>259</v>
      </c>
      <c r="H136" s="3" t="s">
        <v>457</v>
      </c>
      <c r="I136" s="3" t="s">
        <v>113</v>
      </c>
      <c r="J136" s="3" t="s">
        <v>130</v>
      </c>
      <c r="K136" s="3" t="s">
        <v>1274</v>
      </c>
      <c r="L136" s="3" t="s">
        <v>262</v>
      </c>
      <c r="M136" s="3" t="s">
        <v>84</v>
      </c>
      <c r="N136" s="3" t="s">
        <v>85</v>
      </c>
      <c r="O136" s="3" t="s">
        <v>135</v>
      </c>
      <c r="P136" s="3"/>
      <c r="Q136" s="3" t="s">
        <v>946</v>
      </c>
      <c r="R136" s="3" t="s">
        <v>244</v>
      </c>
      <c r="S136" s="3" t="s">
        <v>1324</v>
      </c>
      <c r="T136" s="3" t="s">
        <v>90</v>
      </c>
      <c r="U136" s="3" t="s">
        <v>86</v>
      </c>
      <c r="V136" s="3" t="s">
        <v>1325</v>
      </c>
      <c r="W136" s="3" t="s">
        <v>1326</v>
      </c>
      <c r="X136" s="3" t="s">
        <v>1327</v>
      </c>
      <c r="Y136" s="3" t="s">
        <v>1328</v>
      </c>
      <c r="Z136" s="3" t="s">
        <v>1329</v>
      </c>
      <c r="AA136" s="3" t="s">
        <v>96</v>
      </c>
      <c r="AB136" s="3">
        <v>48</v>
      </c>
      <c r="AC136" s="3">
        <f t="shared" si="12"/>
        <v>0</v>
      </c>
      <c r="AD136" s="3">
        <f t="shared" si="13"/>
        <v>1</v>
      </c>
      <c r="AH136" s="3" t="s">
        <v>98</v>
      </c>
      <c r="AI136" s="3">
        <f t="shared" si="14"/>
        <v>0</v>
      </c>
      <c r="AJ136" s="3" t="str">
        <f ca="1">IFERROR(_xludf.MINIFS($P$2:$P$175,$A$2:$A$175,$A136,$C$2:$C$175,$C136,$AC$2:$AC$175,1),"")</f>
        <v/>
      </c>
    </row>
    <row r="137" spans="1:36" x14ac:dyDescent="0.2">
      <c r="A137" s="3" t="s">
        <v>1330</v>
      </c>
      <c r="B137" s="3" t="s">
        <v>1331</v>
      </c>
      <c r="C137" s="3" t="s">
        <v>1332</v>
      </c>
      <c r="D137" s="3" t="s">
        <v>1333</v>
      </c>
      <c r="E137" s="3" t="s">
        <v>1334</v>
      </c>
      <c r="F137" s="3" t="s">
        <v>1335</v>
      </c>
      <c r="G137" s="3" t="s">
        <v>1336</v>
      </c>
      <c r="H137" s="3" t="s">
        <v>79</v>
      </c>
      <c r="I137" s="3" t="s">
        <v>80</v>
      </c>
      <c r="J137" s="3" t="s">
        <v>215</v>
      </c>
      <c r="K137" s="3" t="s">
        <v>1337</v>
      </c>
      <c r="L137" s="3" t="s">
        <v>1338</v>
      </c>
      <c r="M137" s="3" t="s">
        <v>218</v>
      </c>
      <c r="N137" s="3" t="s">
        <v>85</v>
      </c>
      <c r="O137" s="3" t="s">
        <v>104</v>
      </c>
      <c r="P137" s="3">
        <v>2025</v>
      </c>
      <c r="Q137" s="3" t="s">
        <v>1339</v>
      </c>
      <c r="R137" s="3" t="s">
        <v>264</v>
      </c>
      <c r="S137" s="3" t="s">
        <v>1340</v>
      </c>
      <c r="T137" s="3" t="s">
        <v>90</v>
      </c>
      <c r="U137" s="3" t="s">
        <v>396</v>
      </c>
      <c r="V137" s="3" t="s">
        <v>1341</v>
      </c>
      <c r="W137" s="3" t="s">
        <v>1342</v>
      </c>
      <c r="X137" s="3" t="s">
        <v>1343</v>
      </c>
      <c r="Y137" s="3" t="s">
        <v>1344</v>
      </c>
      <c r="Z137" s="3" t="s">
        <v>1345</v>
      </c>
      <c r="AA137" s="3" t="s">
        <v>96</v>
      </c>
      <c r="AB137" s="3">
        <v>49</v>
      </c>
      <c r="AC137" s="3">
        <f t="shared" si="12"/>
        <v>0</v>
      </c>
      <c r="AD137" s="3">
        <f t="shared" si="13"/>
        <v>0</v>
      </c>
      <c r="AG137" s="20" t="s">
        <v>1346</v>
      </c>
      <c r="AH137" s="3" t="s">
        <v>1347</v>
      </c>
      <c r="AI137" s="3">
        <f t="shared" si="14"/>
        <v>0</v>
      </c>
      <c r="AJ137" s="3" t="str">
        <f ca="1">IFERROR(_xludf.MINIFS($P$2:$P$175,$A$2:$A$175,$A137,$C$2:$C$175,$C137,$AC$2:$AC$175,1),"")</f>
        <v/>
      </c>
    </row>
    <row r="138" spans="1:36" x14ac:dyDescent="0.2">
      <c r="A138" s="3" t="s">
        <v>1330</v>
      </c>
      <c r="B138" s="3" t="s">
        <v>1331</v>
      </c>
      <c r="C138" s="3" t="s">
        <v>1332</v>
      </c>
      <c r="D138" s="3" t="s">
        <v>1333</v>
      </c>
      <c r="E138" s="3" t="s">
        <v>1334</v>
      </c>
      <c r="F138" s="3" t="s">
        <v>1335</v>
      </c>
      <c r="G138" s="3" t="s">
        <v>1336</v>
      </c>
      <c r="H138" s="3" t="s">
        <v>79</v>
      </c>
      <c r="I138" s="3" t="s">
        <v>99</v>
      </c>
      <c r="J138" s="3" t="s">
        <v>215</v>
      </c>
      <c r="K138" s="3" t="s">
        <v>1348</v>
      </c>
      <c r="L138" s="3" t="s">
        <v>1349</v>
      </c>
      <c r="M138" s="3" t="s">
        <v>218</v>
      </c>
      <c r="N138" s="3" t="s">
        <v>85</v>
      </c>
      <c r="O138" s="3" t="s">
        <v>104</v>
      </c>
      <c r="P138" s="3">
        <v>2024</v>
      </c>
      <c r="Q138" s="3" t="s">
        <v>1350</v>
      </c>
      <c r="R138" s="3" t="s">
        <v>264</v>
      </c>
      <c r="S138" s="3" t="s">
        <v>1351</v>
      </c>
      <c r="T138" s="3" t="s">
        <v>90</v>
      </c>
      <c r="U138" s="3" t="s">
        <v>157</v>
      </c>
      <c r="V138" s="3" t="s">
        <v>1352</v>
      </c>
      <c r="W138" s="3" t="s">
        <v>1353</v>
      </c>
      <c r="X138" s="3" t="s">
        <v>1354</v>
      </c>
      <c r="Y138" s="3" t="s">
        <v>1355</v>
      </c>
      <c r="Z138" s="3" t="s">
        <v>1356</v>
      </c>
      <c r="AA138" s="3" t="s">
        <v>96</v>
      </c>
      <c r="AB138" s="3">
        <v>49</v>
      </c>
      <c r="AC138" s="3">
        <f t="shared" si="12"/>
        <v>0</v>
      </c>
      <c r="AD138" s="3">
        <f t="shared" si="13"/>
        <v>0</v>
      </c>
      <c r="AH138" s="3" t="s">
        <v>1347</v>
      </c>
      <c r="AI138" s="3">
        <f t="shared" si="14"/>
        <v>0</v>
      </c>
      <c r="AJ138" s="3" t="str">
        <f ca="1">IFERROR(_xludf.MINIFS($P$2:$P$175,$A$2:$A$175,$A138,$C$2:$C$175,$C138,$AC$2:$AC$175,1),"")</f>
        <v/>
      </c>
    </row>
    <row r="139" spans="1:36" x14ac:dyDescent="0.2">
      <c r="A139" s="3" t="s">
        <v>1330</v>
      </c>
      <c r="B139" s="3" t="s">
        <v>1331</v>
      </c>
      <c r="C139" s="3" t="s">
        <v>1332</v>
      </c>
      <c r="D139" s="3" t="s">
        <v>1333</v>
      </c>
      <c r="E139" s="3" t="s">
        <v>1334</v>
      </c>
      <c r="F139" s="3" t="s">
        <v>1335</v>
      </c>
      <c r="G139" s="3" t="s">
        <v>1336</v>
      </c>
      <c r="H139" s="3" t="s">
        <v>79</v>
      </c>
      <c r="I139" s="3" t="s">
        <v>113</v>
      </c>
      <c r="J139" s="3" t="s">
        <v>130</v>
      </c>
      <c r="K139" s="3" t="s">
        <v>1357</v>
      </c>
      <c r="L139" s="3" t="s">
        <v>1358</v>
      </c>
      <c r="M139" s="3" t="s">
        <v>218</v>
      </c>
      <c r="N139" s="3" t="s">
        <v>85</v>
      </c>
      <c r="O139" s="3" t="s">
        <v>104</v>
      </c>
      <c r="P139" s="3">
        <v>2024</v>
      </c>
      <c r="Q139" s="3" t="s">
        <v>1359</v>
      </c>
      <c r="R139" s="3" t="s">
        <v>1360</v>
      </c>
      <c r="S139" s="3" t="s">
        <v>1361</v>
      </c>
      <c r="T139" s="3" t="s">
        <v>90</v>
      </c>
      <c r="U139" s="3" t="s">
        <v>740</v>
      </c>
      <c r="V139" s="3" t="s">
        <v>1362</v>
      </c>
      <c r="W139" s="3" t="s">
        <v>1363</v>
      </c>
      <c r="X139" s="3" t="s">
        <v>1364</v>
      </c>
      <c r="Y139" s="3" t="s">
        <v>1365</v>
      </c>
      <c r="Z139" s="3" t="s">
        <v>1366</v>
      </c>
      <c r="AA139" s="3" t="s">
        <v>96</v>
      </c>
      <c r="AB139" s="3">
        <v>49</v>
      </c>
      <c r="AC139" s="3">
        <f t="shared" si="12"/>
        <v>0</v>
      </c>
      <c r="AD139" s="3">
        <f t="shared" si="13"/>
        <v>0</v>
      </c>
      <c r="AH139" s="3" t="s">
        <v>1347</v>
      </c>
      <c r="AI139" s="3">
        <f t="shared" si="14"/>
        <v>0</v>
      </c>
      <c r="AJ139" s="3" t="str">
        <f ca="1">IFERROR(_xludf.MINIFS($P$2:$P$175,$A$2:$A$175,$A139,$C$2:$C$175,$C139,$AC$2:$AC$175,1),"")</f>
        <v/>
      </c>
    </row>
    <row r="140" spans="1:36" x14ac:dyDescent="0.2">
      <c r="A140" s="3" t="s">
        <v>1367</v>
      </c>
      <c r="B140" s="3" t="s">
        <v>1368</v>
      </c>
      <c r="C140" s="3" t="s">
        <v>1369</v>
      </c>
      <c r="D140" s="3" t="s">
        <v>1370</v>
      </c>
      <c r="E140" s="3" t="s">
        <v>76</v>
      </c>
      <c r="F140" s="3" t="s">
        <v>1335</v>
      </c>
      <c r="G140" s="3" t="s">
        <v>1336</v>
      </c>
      <c r="H140" s="3" t="s">
        <v>79</v>
      </c>
      <c r="I140" s="3" t="s">
        <v>80</v>
      </c>
      <c r="J140" s="3" t="s">
        <v>215</v>
      </c>
      <c r="K140" s="3" t="s">
        <v>1371</v>
      </c>
      <c r="L140" s="3" t="s">
        <v>101</v>
      </c>
      <c r="M140" s="3" t="s">
        <v>102</v>
      </c>
      <c r="N140" s="3" t="s">
        <v>103</v>
      </c>
      <c r="O140" s="3" t="s">
        <v>104</v>
      </c>
      <c r="P140" s="3">
        <v>2019</v>
      </c>
      <c r="Q140" s="3" t="s">
        <v>1372</v>
      </c>
      <c r="R140" s="3" t="s">
        <v>1360</v>
      </c>
      <c r="S140" s="3" t="s">
        <v>1373</v>
      </c>
      <c r="T140" s="3" t="s">
        <v>90</v>
      </c>
      <c r="U140" s="3" t="s">
        <v>86</v>
      </c>
      <c r="V140" s="3" t="s">
        <v>1362</v>
      </c>
      <c r="W140" s="3" t="s">
        <v>1374</v>
      </c>
      <c r="X140" s="3" t="s">
        <v>1375</v>
      </c>
      <c r="Y140" s="3" t="s">
        <v>1376</v>
      </c>
      <c r="Z140" s="3" t="s">
        <v>1377</v>
      </c>
      <c r="AA140" s="3" t="s">
        <v>96</v>
      </c>
      <c r="AB140" s="3">
        <v>50</v>
      </c>
      <c r="AC140" s="3">
        <f t="shared" si="12"/>
        <v>1</v>
      </c>
      <c r="AD140" s="3">
        <f t="shared" si="13"/>
        <v>1</v>
      </c>
      <c r="AG140" s="20" t="s">
        <v>1378</v>
      </c>
      <c r="AH140" s="3" t="s">
        <v>1347</v>
      </c>
      <c r="AI140" s="3">
        <f t="shared" si="14"/>
        <v>1</v>
      </c>
      <c r="AJ140" s="3" t="str">
        <f ca="1">IFERROR(_xludf.MINIFS($P$2:$P$175,$A$2:$A$175,$A140,$C$2:$C$175,$C140,$AC$2:$AC$175,1),"")</f>
        <v/>
      </c>
    </row>
    <row r="141" spans="1:36" x14ac:dyDescent="0.2">
      <c r="A141" s="3" t="s">
        <v>1367</v>
      </c>
      <c r="B141" s="3" t="s">
        <v>1368</v>
      </c>
      <c r="C141" s="3" t="s">
        <v>1369</v>
      </c>
      <c r="D141" s="3" t="s">
        <v>1370</v>
      </c>
      <c r="E141" s="3" t="s">
        <v>76</v>
      </c>
      <c r="F141" s="3" t="s">
        <v>1335</v>
      </c>
      <c r="G141" s="3" t="s">
        <v>1336</v>
      </c>
      <c r="H141" s="3" t="s">
        <v>79</v>
      </c>
      <c r="I141" s="3" t="s">
        <v>99</v>
      </c>
      <c r="J141" s="3" t="s">
        <v>215</v>
      </c>
      <c r="K141" s="3" t="s">
        <v>1379</v>
      </c>
      <c r="L141" s="3" t="s">
        <v>1380</v>
      </c>
      <c r="M141" s="3" t="s">
        <v>218</v>
      </c>
      <c r="N141" s="3" t="s">
        <v>85</v>
      </c>
      <c r="O141" s="3" t="s">
        <v>104</v>
      </c>
      <c r="P141" s="3">
        <v>2019</v>
      </c>
      <c r="Q141" s="3" t="s">
        <v>1381</v>
      </c>
      <c r="R141" s="3" t="s">
        <v>1360</v>
      </c>
      <c r="S141" s="3" t="s">
        <v>1382</v>
      </c>
      <c r="T141" s="3" t="s">
        <v>90</v>
      </c>
      <c r="U141" s="3" t="s">
        <v>222</v>
      </c>
      <c r="V141" s="3" t="s">
        <v>1362</v>
      </c>
      <c r="W141" s="3" t="s">
        <v>1383</v>
      </c>
      <c r="X141" s="3" t="s">
        <v>1384</v>
      </c>
      <c r="Y141" s="3" t="s">
        <v>1385</v>
      </c>
      <c r="Z141" s="3" t="s">
        <v>1386</v>
      </c>
      <c r="AA141" s="3" t="s">
        <v>96</v>
      </c>
      <c r="AB141" s="3">
        <v>50</v>
      </c>
      <c r="AC141" s="3">
        <f t="shared" si="12"/>
        <v>0</v>
      </c>
      <c r="AD141" s="3">
        <f t="shared" si="13"/>
        <v>0</v>
      </c>
      <c r="AH141" s="3" t="s">
        <v>1347</v>
      </c>
      <c r="AI141" s="3">
        <f t="shared" si="14"/>
        <v>1</v>
      </c>
      <c r="AJ141" s="3" t="str">
        <f ca="1">IFERROR(_xludf.MINIFS($P$2:$P$175,$A$2:$A$175,$A141,$C$2:$C$175,$C141,$AC$2:$AC$175,1),"")</f>
        <v/>
      </c>
    </row>
    <row r="142" spans="1:36" x14ac:dyDescent="0.2">
      <c r="A142" s="3" t="s">
        <v>1367</v>
      </c>
      <c r="B142" s="3" t="s">
        <v>1368</v>
      </c>
      <c r="C142" s="3" t="s">
        <v>1369</v>
      </c>
      <c r="D142" s="3" t="s">
        <v>1370</v>
      </c>
      <c r="E142" s="3" t="s">
        <v>76</v>
      </c>
      <c r="F142" s="3" t="s">
        <v>1335</v>
      </c>
      <c r="G142" s="3" t="s">
        <v>1336</v>
      </c>
      <c r="H142" s="3" t="s">
        <v>79</v>
      </c>
      <c r="I142" s="3" t="s">
        <v>113</v>
      </c>
      <c r="J142" s="3" t="s">
        <v>215</v>
      </c>
      <c r="K142" s="3" t="s">
        <v>1387</v>
      </c>
      <c r="L142" s="3" t="s">
        <v>1388</v>
      </c>
      <c r="M142" s="3" t="s">
        <v>218</v>
      </c>
      <c r="N142" s="3" t="s">
        <v>85</v>
      </c>
      <c r="O142" s="3" t="s">
        <v>104</v>
      </c>
      <c r="P142" s="3">
        <v>2018</v>
      </c>
      <c r="Q142" s="3" t="s">
        <v>1389</v>
      </c>
      <c r="R142" s="3" t="s">
        <v>1360</v>
      </c>
      <c r="S142" s="3" t="s">
        <v>1390</v>
      </c>
      <c r="T142" s="3" t="s">
        <v>90</v>
      </c>
      <c r="U142" s="3" t="s">
        <v>352</v>
      </c>
      <c r="V142" s="3" t="s">
        <v>1391</v>
      </c>
      <c r="W142" s="3" t="s">
        <v>1392</v>
      </c>
      <c r="X142" s="3" t="s">
        <v>1393</v>
      </c>
      <c r="Y142" s="3" t="s">
        <v>1394</v>
      </c>
      <c r="Z142" s="3" t="s">
        <v>1395</v>
      </c>
      <c r="AA142" s="3" t="s">
        <v>96</v>
      </c>
      <c r="AB142" s="3">
        <v>50</v>
      </c>
      <c r="AC142" s="3">
        <f t="shared" si="12"/>
        <v>0</v>
      </c>
      <c r="AD142" s="3">
        <f t="shared" si="13"/>
        <v>0</v>
      </c>
      <c r="AH142" s="3" t="s">
        <v>1347</v>
      </c>
      <c r="AI142" s="3">
        <f t="shared" si="14"/>
        <v>1</v>
      </c>
      <c r="AJ142" s="3" t="str">
        <f ca="1">IFERROR(_xludf.MINIFS($P$2:$P$175,$A$2:$A$175,$A142,$C$2:$C$175,$C142,$AC$2:$AC$175,1),"")</f>
        <v/>
      </c>
    </row>
    <row r="143" spans="1:36" x14ac:dyDescent="0.2">
      <c r="A143" s="3" t="s">
        <v>1396</v>
      </c>
      <c r="B143" s="3" t="s">
        <v>1397</v>
      </c>
      <c r="C143" s="3" t="s">
        <v>1398</v>
      </c>
      <c r="D143" s="3" t="s">
        <v>1399</v>
      </c>
      <c r="E143" s="3" t="s">
        <v>1400</v>
      </c>
      <c r="F143" s="3" t="s">
        <v>1335</v>
      </c>
      <c r="G143" s="3" t="s">
        <v>1336</v>
      </c>
      <c r="H143" s="3" t="s">
        <v>79</v>
      </c>
      <c r="I143" s="3" t="s">
        <v>80</v>
      </c>
      <c r="J143" s="3" t="s">
        <v>215</v>
      </c>
      <c r="K143" s="3" t="s">
        <v>1401</v>
      </c>
      <c r="L143" s="3" t="s">
        <v>101</v>
      </c>
      <c r="M143" s="3" t="s">
        <v>102</v>
      </c>
      <c r="N143" s="3" t="s">
        <v>103</v>
      </c>
      <c r="O143" s="3" t="s">
        <v>104</v>
      </c>
      <c r="P143" s="3">
        <v>2019</v>
      </c>
      <c r="Q143" s="3" t="s">
        <v>1402</v>
      </c>
      <c r="R143" s="3" t="s">
        <v>244</v>
      </c>
      <c r="S143" s="3" t="s">
        <v>1403</v>
      </c>
      <c r="T143" s="3" t="s">
        <v>90</v>
      </c>
      <c r="U143" s="3" t="s">
        <v>86</v>
      </c>
      <c r="V143" s="3" t="s">
        <v>1362</v>
      </c>
      <c r="W143" s="3" t="s">
        <v>1404</v>
      </c>
      <c r="X143" s="3" t="s">
        <v>1405</v>
      </c>
      <c r="Y143" s="3" t="s">
        <v>1406</v>
      </c>
      <c r="Z143" s="3" t="s">
        <v>1407</v>
      </c>
      <c r="AA143" s="3" t="s">
        <v>96</v>
      </c>
      <c r="AB143" s="3">
        <v>51</v>
      </c>
      <c r="AC143" s="3">
        <f t="shared" si="12"/>
        <v>1</v>
      </c>
      <c r="AD143" s="3">
        <f t="shared" si="13"/>
        <v>1</v>
      </c>
      <c r="AG143" s="20" t="s">
        <v>1408</v>
      </c>
      <c r="AH143" s="3" t="s">
        <v>1347</v>
      </c>
      <c r="AI143" s="3">
        <f t="shared" si="14"/>
        <v>1</v>
      </c>
      <c r="AJ143" s="3" t="str">
        <f ca="1">IFERROR(_xludf.MINIFS($P$2:$P$175,$A$2:$A$175,$A143,$C$2:$C$175,$C143,$AC$2:$AC$175,1),"")</f>
        <v/>
      </c>
    </row>
    <row r="144" spans="1:36" x14ac:dyDescent="0.2">
      <c r="A144" s="3" t="s">
        <v>1396</v>
      </c>
      <c r="B144" s="3" t="s">
        <v>1397</v>
      </c>
      <c r="C144" s="3" t="s">
        <v>1398</v>
      </c>
      <c r="D144" s="3" t="s">
        <v>1399</v>
      </c>
      <c r="E144" s="3" t="s">
        <v>1400</v>
      </c>
      <c r="F144" s="3" t="s">
        <v>1335</v>
      </c>
      <c r="G144" s="3" t="s">
        <v>1336</v>
      </c>
      <c r="H144" s="3" t="s">
        <v>79</v>
      </c>
      <c r="I144" s="3" t="s">
        <v>99</v>
      </c>
      <c r="J144" s="3" t="s">
        <v>215</v>
      </c>
      <c r="K144" s="3" t="s">
        <v>1409</v>
      </c>
      <c r="L144" s="3" t="s">
        <v>1349</v>
      </c>
      <c r="M144" s="3" t="s">
        <v>218</v>
      </c>
      <c r="N144" s="3" t="s">
        <v>85</v>
      </c>
      <c r="O144" s="3" t="s">
        <v>104</v>
      </c>
      <c r="P144" s="3">
        <v>2024</v>
      </c>
      <c r="Q144" s="3" t="s">
        <v>1350</v>
      </c>
      <c r="R144" s="3" t="s">
        <v>264</v>
      </c>
      <c r="S144" s="3" t="s">
        <v>1410</v>
      </c>
      <c r="T144" s="3" t="s">
        <v>90</v>
      </c>
      <c r="U144" s="3" t="s">
        <v>329</v>
      </c>
      <c r="V144" s="3" t="s">
        <v>1411</v>
      </c>
      <c r="W144" s="3" t="s">
        <v>1412</v>
      </c>
      <c r="X144" s="3" t="s">
        <v>1413</v>
      </c>
      <c r="Y144" s="3" t="s">
        <v>1414</v>
      </c>
      <c r="Z144" s="3" t="s">
        <v>1415</v>
      </c>
      <c r="AA144" s="3" t="s">
        <v>96</v>
      </c>
      <c r="AB144" s="3">
        <v>51</v>
      </c>
      <c r="AC144" s="3">
        <f t="shared" si="12"/>
        <v>0</v>
      </c>
      <c r="AD144" s="3">
        <f t="shared" si="13"/>
        <v>0</v>
      </c>
      <c r="AH144" s="3" t="s">
        <v>1347</v>
      </c>
      <c r="AI144" s="3">
        <f t="shared" si="14"/>
        <v>1</v>
      </c>
      <c r="AJ144" s="3" t="str">
        <f ca="1">IFERROR(_xludf.MINIFS($P$2:$P$175,$A$2:$A$175,$A144,$C$2:$C$175,$C144,$AC$2:$AC$175,1),"")</f>
        <v/>
      </c>
    </row>
    <row r="145" spans="1:36" x14ac:dyDescent="0.2">
      <c r="A145" s="3" t="s">
        <v>1396</v>
      </c>
      <c r="B145" s="3" t="s">
        <v>1397</v>
      </c>
      <c r="C145" s="3" t="s">
        <v>1398</v>
      </c>
      <c r="D145" s="3" t="s">
        <v>1399</v>
      </c>
      <c r="E145" s="3" t="s">
        <v>1400</v>
      </c>
      <c r="F145" s="3" t="s">
        <v>1335</v>
      </c>
      <c r="G145" s="3" t="s">
        <v>1336</v>
      </c>
      <c r="H145" s="3" t="s">
        <v>79</v>
      </c>
      <c r="I145" s="3" t="s">
        <v>113</v>
      </c>
      <c r="J145" s="3" t="s">
        <v>130</v>
      </c>
      <c r="K145" s="3" t="s">
        <v>1416</v>
      </c>
      <c r="L145" s="3" t="s">
        <v>1417</v>
      </c>
      <c r="M145" s="3" t="s">
        <v>218</v>
      </c>
      <c r="N145" s="3" t="s">
        <v>85</v>
      </c>
      <c r="O145" s="3" t="s">
        <v>104</v>
      </c>
      <c r="P145" s="3">
        <v>2022</v>
      </c>
      <c r="Q145" s="3" t="s">
        <v>1418</v>
      </c>
      <c r="R145" s="3" t="s">
        <v>244</v>
      </c>
      <c r="S145" s="3" t="s">
        <v>1403</v>
      </c>
      <c r="T145" s="3" t="s">
        <v>90</v>
      </c>
      <c r="U145" s="3" t="s">
        <v>329</v>
      </c>
      <c r="V145" s="3" t="s">
        <v>1362</v>
      </c>
      <c r="W145" s="3" t="s">
        <v>1419</v>
      </c>
      <c r="X145" s="3" t="s">
        <v>1420</v>
      </c>
      <c r="Y145" s="3" t="s">
        <v>1421</v>
      </c>
      <c r="Z145" s="3" t="s">
        <v>1422</v>
      </c>
      <c r="AA145" s="3" t="s">
        <v>96</v>
      </c>
      <c r="AB145" s="3">
        <v>51</v>
      </c>
      <c r="AC145" s="3">
        <f t="shared" si="12"/>
        <v>0</v>
      </c>
      <c r="AD145" s="3">
        <f t="shared" si="13"/>
        <v>0</v>
      </c>
      <c r="AH145" s="3" t="s">
        <v>1347</v>
      </c>
      <c r="AI145" s="3">
        <f t="shared" si="14"/>
        <v>1</v>
      </c>
      <c r="AJ145" s="3" t="str">
        <f ca="1">IFERROR(_xludf.MINIFS($P$2:$P$175,$A$2:$A$175,$A145,$C$2:$C$175,$C145,$AC$2:$AC$175,1),"")</f>
        <v/>
      </c>
    </row>
    <row r="146" spans="1:36" x14ac:dyDescent="0.2">
      <c r="A146" s="3" t="s">
        <v>822</v>
      </c>
      <c r="B146" s="3" t="s">
        <v>823</v>
      </c>
      <c r="C146" s="3" t="s">
        <v>1423</v>
      </c>
      <c r="D146" s="3" t="s">
        <v>825</v>
      </c>
      <c r="E146" s="3" t="s">
        <v>825</v>
      </c>
      <c r="F146" s="3" t="s">
        <v>324</v>
      </c>
      <c r="G146" s="3" t="s">
        <v>780</v>
      </c>
      <c r="H146" s="3" t="s">
        <v>457</v>
      </c>
      <c r="I146" s="3" t="s">
        <v>80</v>
      </c>
      <c r="J146" s="3" t="s">
        <v>215</v>
      </c>
      <c r="K146" s="3" t="s">
        <v>1424</v>
      </c>
      <c r="L146" s="3" t="s">
        <v>1425</v>
      </c>
      <c r="M146" s="3" t="s">
        <v>218</v>
      </c>
      <c r="N146" s="3" t="s">
        <v>85</v>
      </c>
      <c r="O146" s="3" t="s">
        <v>104</v>
      </c>
      <c r="P146" s="3">
        <v>2026</v>
      </c>
      <c r="Q146" s="3" t="s">
        <v>1426</v>
      </c>
      <c r="R146" s="3" t="s">
        <v>264</v>
      </c>
      <c r="S146" s="3" t="s">
        <v>1427</v>
      </c>
      <c r="T146" s="3" t="s">
        <v>90</v>
      </c>
      <c r="U146" s="3" t="s">
        <v>352</v>
      </c>
      <c r="V146" s="3" t="s">
        <v>1428</v>
      </c>
      <c r="W146" s="3" t="s">
        <v>1429</v>
      </c>
      <c r="X146" s="3" t="s">
        <v>1430</v>
      </c>
      <c r="Y146" s="3" t="s">
        <v>1431</v>
      </c>
      <c r="Z146" s="3" t="s">
        <v>1432</v>
      </c>
      <c r="AA146" s="3" t="s">
        <v>96</v>
      </c>
      <c r="AB146" s="3">
        <v>52</v>
      </c>
      <c r="AC146" s="3">
        <f t="shared" si="12"/>
        <v>0</v>
      </c>
      <c r="AD146" s="3">
        <f t="shared" si="13"/>
        <v>0</v>
      </c>
      <c r="AG146" s="20" t="s">
        <v>808</v>
      </c>
      <c r="AH146" s="3" t="s">
        <v>324</v>
      </c>
      <c r="AI146" s="3">
        <f t="shared" si="14"/>
        <v>0</v>
      </c>
      <c r="AJ146" s="3" t="str">
        <f ca="1">IFERROR(_xludf.MINIFS($P$2:$P$175,$A$2:$A$175,$A146,$C$2:$C$175,$C146,$AC$2:$AC$175,1),"")</f>
        <v/>
      </c>
    </row>
    <row r="147" spans="1:36" x14ac:dyDescent="0.2">
      <c r="A147" s="3" t="s">
        <v>822</v>
      </c>
      <c r="B147" s="3" t="s">
        <v>823</v>
      </c>
      <c r="C147" s="3" t="s">
        <v>1423</v>
      </c>
      <c r="D147" s="3" t="s">
        <v>825</v>
      </c>
      <c r="E147" s="3" t="s">
        <v>825</v>
      </c>
      <c r="F147" s="3" t="s">
        <v>324</v>
      </c>
      <c r="G147" s="3" t="s">
        <v>780</v>
      </c>
      <c r="H147" s="3" t="s">
        <v>457</v>
      </c>
      <c r="I147" s="3" t="s">
        <v>99</v>
      </c>
      <c r="J147" s="3" t="s">
        <v>215</v>
      </c>
      <c r="K147" s="3" t="s">
        <v>218</v>
      </c>
      <c r="L147" s="3" t="s">
        <v>1433</v>
      </c>
      <c r="M147" s="3" t="s">
        <v>218</v>
      </c>
      <c r="N147" s="3" t="s">
        <v>85</v>
      </c>
      <c r="O147" s="3" t="s">
        <v>104</v>
      </c>
      <c r="P147" s="3"/>
      <c r="Q147" s="3"/>
      <c r="R147" s="3" t="s">
        <v>221</v>
      </c>
      <c r="S147" s="3"/>
      <c r="T147" s="3" t="s">
        <v>90</v>
      </c>
      <c r="U147" s="3" t="s">
        <v>836</v>
      </c>
      <c r="V147" s="3"/>
      <c r="W147" s="3"/>
      <c r="X147" s="3"/>
      <c r="Y147" s="3" t="s">
        <v>837</v>
      </c>
      <c r="Z147" s="3"/>
      <c r="AA147" s="3" t="s">
        <v>96</v>
      </c>
      <c r="AB147" s="3">
        <v>52</v>
      </c>
      <c r="AC147" s="3">
        <f t="shared" si="12"/>
        <v>0</v>
      </c>
      <c r="AD147" s="3">
        <f t="shared" si="13"/>
        <v>0</v>
      </c>
      <c r="AH147" s="3" t="s">
        <v>324</v>
      </c>
      <c r="AI147" s="3">
        <f t="shared" si="14"/>
        <v>0</v>
      </c>
      <c r="AJ147" s="3" t="str">
        <f ca="1">IFERROR(_xludf.MINIFS($P$2:$P$175,$A$2:$A$175,$A147,$C$2:$C$175,$C147,$AC$2:$AC$175,1),"")</f>
        <v/>
      </c>
    </row>
    <row r="148" spans="1:36" x14ac:dyDescent="0.2">
      <c r="A148" s="3" t="s">
        <v>822</v>
      </c>
      <c r="B148" s="3" t="s">
        <v>823</v>
      </c>
      <c r="C148" s="3" t="s">
        <v>1423</v>
      </c>
      <c r="D148" s="3" t="s">
        <v>825</v>
      </c>
      <c r="E148" s="3" t="s">
        <v>825</v>
      </c>
      <c r="F148" s="3" t="s">
        <v>324</v>
      </c>
      <c r="G148" s="3" t="s">
        <v>780</v>
      </c>
      <c r="H148" s="3" t="s">
        <v>457</v>
      </c>
      <c r="I148" s="3" t="s">
        <v>113</v>
      </c>
      <c r="J148" s="3" t="s">
        <v>130</v>
      </c>
      <c r="K148" s="3" t="s">
        <v>1434</v>
      </c>
      <c r="L148" s="3" t="s">
        <v>839</v>
      </c>
      <c r="M148" s="3" t="s">
        <v>218</v>
      </c>
      <c r="N148" s="3" t="s">
        <v>85</v>
      </c>
      <c r="O148" s="3" t="s">
        <v>104</v>
      </c>
      <c r="P148" s="3">
        <v>2022</v>
      </c>
      <c r="Q148" s="3" t="s">
        <v>840</v>
      </c>
      <c r="R148" s="3" t="s">
        <v>264</v>
      </c>
      <c r="S148" s="3" t="s">
        <v>1435</v>
      </c>
      <c r="T148" s="3" t="s">
        <v>90</v>
      </c>
      <c r="U148" s="3" t="s">
        <v>740</v>
      </c>
      <c r="V148" s="3" t="s">
        <v>1436</v>
      </c>
      <c r="W148" s="3" t="s">
        <v>1437</v>
      </c>
      <c r="X148" s="3" t="s">
        <v>1438</v>
      </c>
      <c r="Y148" s="3" t="s">
        <v>1439</v>
      </c>
      <c r="Z148" s="3" t="s">
        <v>1440</v>
      </c>
      <c r="AA148" s="3" t="s">
        <v>96</v>
      </c>
      <c r="AB148" s="3">
        <v>52</v>
      </c>
      <c r="AC148" s="3">
        <f t="shared" si="12"/>
        <v>0</v>
      </c>
      <c r="AD148" s="3">
        <f t="shared" si="13"/>
        <v>0</v>
      </c>
      <c r="AH148" s="3" t="s">
        <v>324</v>
      </c>
      <c r="AI148" s="3">
        <f t="shared" si="14"/>
        <v>0</v>
      </c>
      <c r="AJ148" s="3" t="str">
        <f ca="1">IFERROR(_xludf.MINIFS($P$2:$P$175,$A$2:$A$175,$A148,$C$2:$C$175,$C148,$AC$2:$AC$175,1),"")</f>
        <v/>
      </c>
    </row>
    <row r="149" spans="1:36" x14ac:dyDescent="0.2">
      <c r="A149" s="3" t="s">
        <v>822</v>
      </c>
      <c r="B149" s="3" t="s">
        <v>823</v>
      </c>
      <c r="C149" s="3" t="s">
        <v>1441</v>
      </c>
      <c r="D149" s="3" t="s">
        <v>825</v>
      </c>
      <c r="E149" s="3" t="s">
        <v>825</v>
      </c>
      <c r="F149" s="3" t="s">
        <v>324</v>
      </c>
      <c r="G149" s="3" t="s">
        <v>780</v>
      </c>
      <c r="H149" s="3" t="s">
        <v>457</v>
      </c>
      <c r="I149" s="3" t="s">
        <v>80</v>
      </c>
      <c r="J149" s="3" t="s">
        <v>215</v>
      </c>
      <c r="K149" s="3" t="s">
        <v>218</v>
      </c>
      <c r="L149" s="3" t="s">
        <v>1442</v>
      </c>
      <c r="M149" s="3" t="s">
        <v>218</v>
      </c>
      <c r="N149" s="3" t="s">
        <v>85</v>
      </c>
      <c r="O149" s="3" t="s">
        <v>104</v>
      </c>
      <c r="P149" s="3"/>
      <c r="Q149" s="3"/>
      <c r="R149" s="3" t="s">
        <v>221</v>
      </c>
      <c r="S149" s="3"/>
      <c r="T149" s="3" t="s">
        <v>90</v>
      </c>
      <c r="U149" s="3" t="s">
        <v>347</v>
      </c>
      <c r="V149" s="3"/>
      <c r="W149" s="3"/>
      <c r="X149" s="3"/>
      <c r="Y149" s="3" t="s">
        <v>1443</v>
      </c>
      <c r="Z149" s="3"/>
      <c r="AA149" s="3" t="s">
        <v>96</v>
      </c>
      <c r="AB149" s="3">
        <v>53</v>
      </c>
      <c r="AC149" s="3">
        <f t="shared" si="12"/>
        <v>0</v>
      </c>
      <c r="AD149" s="3">
        <f t="shared" si="13"/>
        <v>0</v>
      </c>
      <c r="AG149" s="20" t="s">
        <v>808</v>
      </c>
      <c r="AH149" s="3" t="s">
        <v>324</v>
      </c>
      <c r="AI149" s="3">
        <f t="shared" si="14"/>
        <v>0</v>
      </c>
      <c r="AJ149" s="3" t="str">
        <f ca="1">IFERROR(_xludf.MINIFS($P$2:$P$175,$A$2:$A$175,$A149,$C$2:$C$175,$C149,$AC$2:$AC$175,1),"")</f>
        <v/>
      </c>
    </row>
    <row r="150" spans="1:36" x14ac:dyDescent="0.2">
      <c r="A150" s="3" t="s">
        <v>822</v>
      </c>
      <c r="B150" s="3" t="s">
        <v>823</v>
      </c>
      <c r="C150" s="3" t="s">
        <v>1441</v>
      </c>
      <c r="D150" s="3" t="s">
        <v>825</v>
      </c>
      <c r="E150" s="3" t="s">
        <v>825</v>
      </c>
      <c r="F150" s="3" t="s">
        <v>324</v>
      </c>
      <c r="G150" s="3" t="s">
        <v>780</v>
      </c>
      <c r="H150" s="3" t="s">
        <v>457</v>
      </c>
      <c r="I150" s="3" t="s">
        <v>99</v>
      </c>
      <c r="J150" s="3" t="s">
        <v>215</v>
      </c>
      <c r="K150" s="3" t="s">
        <v>1379</v>
      </c>
      <c r="L150" s="3" t="s">
        <v>262</v>
      </c>
      <c r="M150" s="3" t="s">
        <v>84</v>
      </c>
      <c r="N150" s="3" t="s">
        <v>85</v>
      </c>
      <c r="O150" s="3" t="s">
        <v>135</v>
      </c>
      <c r="P150" s="3">
        <v>2021</v>
      </c>
      <c r="Q150" s="3" t="s">
        <v>1444</v>
      </c>
      <c r="R150" s="3" t="s">
        <v>264</v>
      </c>
      <c r="S150" s="3" t="s">
        <v>1445</v>
      </c>
      <c r="T150" s="3" t="s">
        <v>90</v>
      </c>
      <c r="U150" s="3" t="s">
        <v>396</v>
      </c>
      <c r="V150" s="3" t="s">
        <v>1446</v>
      </c>
      <c r="W150" s="3" t="s">
        <v>1447</v>
      </c>
      <c r="X150" s="3" t="s">
        <v>1448</v>
      </c>
      <c r="Y150" s="3" t="s">
        <v>1449</v>
      </c>
      <c r="Z150" s="3" t="s">
        <v>1450</v>
      </c>
      <c r="AA150" s="3" t="s">
        <v>96</v>
      </c>
      <c r="AB150" s="3">
        <v>53</v>
      </c>
      <c r="AC150" s="3">
        <f t="shared" si="12"/>
        <v>0</v>
      </c>
      <c r="AD150" s="3">
        <f t="shared" si="13"/>
        <v>1</v>
      </c>
      <c r="AH150" s="3" t="s">
        <v>324</v>
      </c>
      <c r="AI150" s="3">
        <f t="shared" si="14"/>
        <v>0</v>
      </c>
      <c r="AJ150" s="3" t="str">
        <f ca="1">IFERROR(_xludf.MINIFS($P$2:$P$175,$A$2:$A$175,$A150,$C$2:$C$175,$C150,$AC$2:$AC$175,1),"")</f>
        <v/>
      </c>
    </row>
    <row r="151" spans="1:36" x14ac:dyDescent="0.2">
      <c r="A151" s="3" t="s">
        <v>822</v>
      </c>
      <c r="B151" s="3" t="s">
        <v>823</v>
      </c>
      <c r="C151" s="3" t="s">
        <v>1441</v>
      </c>
      <c r="D151" s="3" t="s">
        <v>825</v>
      </c>
      <c r="E151" s="3" t="s">
        <v>825</v>
      </c>
      <c r="F151" s="3" t="s">
        <v>324</v>
      </c>
      <c r="G151" s="3" t="s">
        <v>780</v>
      </c>
      <c r="H151" s="3" t="s">
        <v>457</v>
      </c>
      <c r="I151" s="3" t="s">
        <v>113</v>
      </c>
      <c r="J151" s="3" t="s">
        <v>130</v>
      </c>
      <c r="K151" s="3" t="s">
        <v>1451</v>
      </c>
      <c r="L151" s="3" t="s">
        <v>839</v>
      </c>
      <c r="M151" s="3" t="s">
        <v>218</v>
      </c>
      <c r="N151" s="3" t="s">
        <v>85</v>
      </c>
      <c r="O151" s="3" t="s">
        <v>104</v>
      </c>
      <c r="P151" s="3">
        <v>2022</v>
      </c>
      <c r="Q151" s="3" t="s">
        <v>840</v>
      </c>
      <c r="R151" s="3" t="s">
        <v>264</v>
      </c>
      <c r="S151" s="3" t="s">
        <v>1435</v>
      </c>
      <c r="T151" s="3" t="s">
        <v>90</v>
      </c>
      <c r="U151" s="3" t="s">
        <v>740</v>
      </c>
      <c r="V151" s="3" t="s">
        <v>1436</v>
      </c>
      <c r="W151" s="3" t="s">
        <v>1437</v>
      </c>
      <c r="X151" s="3" t="s">
        <v>1452</v>
      </c>
      <c r="Y151" s="3" t="s">
        <v>1453</v>
      </c>
      <c r="Z151" s="3" t="s">
        <v>1440</v>
      </c>
      <c r="AA151" s="3" t="s">
        <v>96</v>
      </c>
      <c r="AB151" s="3">
        <v>53</v>
      </c>
      <c r="AC151" s="3">
        <f t="shared" si="12"/>
        <v>0</v>
      </c>
      <c r="AD151" s="3">
        <f t="shared" si="13"/>
        <v>0</v>
      </c>
      <c r="AH151" s="3" t="s">
        <v>324</v>
      </c>
      <c r="AI151" s="3">
        <f t="shared" si="14"/>
        <v>0</v>
      </c>
      <c r="AJ151" s="3" t="str">
        <f ca="1">IFERROR(_xludf.MINIFS($P$2:$P$175,$A$2:$A$175,$A151,$C$2:$C$175,$C151,$AC$2:$AC$175,1),"")</f>
        <v/>
      </c>
    </row>
    <row r="152" spans="1:36" x14ac:dyDescent="0.2">
      <c r="A152" s="3" t="s">
        <v>822</v>
      </c>
      <c r="B152" s="3" t="s">
        <v>823</v>
      </c>
      <c r="C152" s="3" t="s">
        <v>1454</v>
      </c>
      <c r="D152" s="3" t="s">
        <v>825</v>
      </c>
      <c r="E152" s="3" t="s">
        <v>825</v>
      </c>
      <c r="F152" s="3" t="s">
        <v>324</v>
      </c>
      <c r="G152" s="3" t="s">
        <v>780</v>
      </c>
      <c r="H152" s="3" t="s">
        <v>457</v>
      </c>
      <c r="I152" s="3" t="s">
        <v>80</v>
      </c>
      <c r="J152" s="3" t="s">
        <v>215</v>
      </c>
      <c r="K152" s="3" t="s">
        <v>218</v>
      </c>
      <c r="L152" s="3" t="s">
        <v>1455</v>
      </c>
      <c r="M152" s="3" t="s">
        <v>218</v>
      </c>
      <c r="N152" s="3" t="s">
        <v>85</v>
      </c>
      <c r="O152" s="3" t="s">
        <v>104</v>
      </c>
      <c r="P152" s="3"/>
      <c r="Q152" s="3"/>
      <c r="R152" s="3" t="s">
        <v>221</v>
      </c>
      <c r="S152" s="3"/>
      <c r="T152" s="3" t="s">
        <v>90</v>
      </c>
      <c r="U152" s="3" t="s">
        <v>836</v>
      </c>
      <c r="V152" s="3"/>
      <c r="W152" s="3"/>
      <c r="X152" s="3"/>
      <c r="Y152" s="3" t="s">
        <v>837</v>
      </c>
      <c r="Z152" s="3"/>
      <c r="AA152" s="3" t="s">
        <v>96</v>
      </c>
      <c r="AB152" s="3">
        <v>54</v>
      </c>
      <c r="AC152" s="3">
        <f t="shared" si="12"/>
        <v>0</v>
      </c>
      <c r="AD152" s="3">
        <f t="shared" si="13"/>
        <v>0</v>
      </c>
      <c r="AG152" s="20" t="s">
        <v>808</v>
      </c>
      <c r="AH152" s="3" t="s">
        <v>324</v>
      </c>
      <c r="AI152" s="3">
        <f t="shared" si="14"/>
        <v>0</v>
      </c>
      <c r="AJ152" s="3" t="str">
        <f ca="1">IFERROR(_xludf.MINIFS($P$2:$P$175,$A$2:$A$175,$A152,$C$2:$C$175,$C152,$AC$2:$AC$175,1),"")</f>
        <v/>
      </c>
    </row>
    <row r="153" spans="1:36" x14ac:dyDescent="0.2">
      <c r="A153" s="3" t="s">
        <v>822</v>
      </c>
      <c r="B153" s="3" t="s">
        <v>823</v>
      </c>
      <c r="C153" s="3" t="s">
        <v>1454</v>
      </c>
      <c r="D153" s="3" t="s">
        <v>825</v>
      </c>
      <c r="E153" s="3" t="s">
        <v>825</v>
      </c>
      <c r="F153" s="3" t="s">
        <v>324</v>
      </c>
      <c r="G153" s="3" t="s">
        <v>780</v>
      </c>
      <c r="H153" s="3" t="s">
        <v>457</v>
      </c>
      <c r="I153" s="3" t="s">
        <v>99</v>
      </c>
      <c r="J153" s="3" t="s">
        <v>215</v>
      </c>
      <c r="K153" s="3" t="s">
        <v>218</v>
      </c>
      <c r="L153" s="3" t="s">
        <v>1456</v>
      </c>
      <c r="M153" s="3" t="s">
        <v>218</v>
      </c>
      <c r="N153" s="3" t="s">
        <v>85</v>
      </c>
      <c r="O153" s="3" t="s">
        <v>104</v>
      </c>
      <c r="P153" s="3"/>
      <c r="Q153" s="3"/>
      <c r="R153" s="3" t="s">
        <v>221</v>
      </c>
      <c r="S153" s="3"/>
      <c r="T153" s="3" t="s">
        <v>90</v>
      </c>
      <c r="U153" s="3" t="s">
        <v>836</v>
      </c>
      <c r="V153" s="3"/>
      <c r="W153" s="3"/>
      <c r="X153" s="3"/>
      <c r="Y153" s="3" t="s">
        <v>837</v>
      </c>
      <c r="Z153" s="3"/>
      <c r="AA153" s="3" t="s">
        <v>96</v>
      </c>
      <c r="AB153" s="3">
        <v>54</v>
      </c>
      <c r="AC153" s="3">
        <f t="shared" si="12"/>
        <v>0</v>
      </c>
      <c r="AD153" s="3">
        <f t="shared" si="13"/>
        <v>0</v>
      </c>
      <c r="AH153" s="3" t="s">
        <v>324</v>
      </c>
      <c r="AI153" s="3">
        <f t="shared" si="14"/>
        <v>0</v>
      </c>
      <c r="AJ153" s="3" t="str">
        <f ca="1">IFERROR(_xludf.MINIFS($P$2:$P$175,$A$2:$A$175,$A153,$C$2:$C$175,$C153,$AC$2:$AC$175,1),"")</f>
        <v/>
      </c>
    </row>
    <row r="154" spans="1:36" x14ac:dyDescent="0.2">
      <c r="A154" s="3" t="s">
        <v>822</v>
      </c>
      <c r="B154" s="3" t="s">
        <v>823</v>
      </c>
      <c r="C154" s="3" t="s">
        <v>1454</v>
      </c>
      <c r="D154" s="3" t="s">
        <v>825</v>
      </c>
      <c r="E154" s="3" t="s">
        <v>825</v>
      </c>
      <c r="F154" s="3" t="s">
        <v>324</v>
      </c>
      <c r="G154" s="3" t="s">
        <v>780</v>
      </c>
      <c r="H154" s="3" t="s">
        <v>457</v>
      </c>
      <c r="I154" s="3" t="s">
        <v>113</v>
      </c>
      <c r="J154" s="3" t="s">
        <v>130</v>
      </c>
      <c r="K154" s="3" t="s">
        <v>1457</v>
      </c>
      <c r="L154" s="3" t="s">
        <v>839</v>
      </c>
      <c r="M154" s="3" t="s">
        <v>218</v>
      </c>
      <c r="N154" s="3" t="s">
        <v>85</v>
      </c>
      <c r="O154" s="3" t="s">
        <v>104</v>
      </c>
      <c r="P154" s="3">
        <v>2022</v>
      </c>
      <c r="Q154" s="3" t="s">
        <v>840</v>
      </c>
      <c r="R154" s="3" t="s">
        <v>264</v>
      </c>
      <c r="S154" s="3" t="s">
        <v>1435</v>
      </c>
      <c r="T154" s="3" t="s">
        <v>90</v>
      </c>
      <c r="U154" s="3" t="s">
        <v>740</v>
      </c>
      <c r="V154" s="3" t="s">
        <v>1436</v>
      </c>
      <c r="W154" s="3" t="s">
        <v>1437</v>
      </c>
      <c r="X154" s="3" t="s">
        <v>1438</v>
      </c>
      <c r="Y154" s="3" t="s">
        <v>1458</v>
      </c>
      <c r="Z154" s="3" t="s">
        <v>1440</v>
      </c>
      <c r="AA154" s="3" t="s">
        <v>96</v>
      </c>
      <c r="AB154" s="3">
        <v>54</v>
      </c>
      <c r="AC154" s="3">
        <f t="shared" si="12"/>
        <v>0</v>
      </c>
      <c r="AD154" s="3">
        <f t="shared" si="13"/>
        <v>0</v>
      </c>
      <c r="AH154" s="3" t="s">
        <v>324</v>
      </c>
      <c r="AI154" s="3">
        <f t="shared" si="14"/>
        <v>0</v>
      </c>
      <c r="AJ154" s="3" t="str">
        <f ca="1">IFERROR(_xludf.MINIFS($P$2:$P$175,$A$2:$A$175,$A154,$C$2:$C$175,$C154,$AC$2:$AC$175,1),"")</f>
        <v/>
      </c>
    </row>
    <row r="155" spans="1:36" x14ac:dyDescent="0.2">
      <c r="A155" s="3" t="s">
        <v>1367</v>
      </c>
      <c r="B155" s="3" t="s">
        <v>1368</v>
      </c>
      <c r="C155" s="3" t="s">
        <v>1459</v>
      </c>
      <c r="D155" s="3" t="s">
        <v>1370</v>
      </c>
      <c r="E155" s="3" t="s">
        <v>76</v>
      </c>
      <c r="F155" s="3" t="s">
        <v>1335</v>
      </c>
      <c r="G155" s="3" t="s">
        <v>1336</v>
      </c>
      <c r="H155" s="3" t="s">
        <v>79</v>
      </c>
      <c r="I155" s="3" t="s">
        <v>80</v>
      </c>
      <c r="J155" s="3" t="s">
        <v>215</v>
      </c>
      <c r="K155" s="3" t="s">
        <v>1460</v>
      </c>
      <c r="L155" s="3" t="s">
        <v>262</v>
      </c>
      <c r="M155" s="3" t="s">
        <v>84</v>
      </c>
      <c r="N155" s="3" t="s">
        <v>85</v>
      </c>
      <c r="O155" s="3" t="s">
        <v>135</v>
      </c>
      <c r="P155" s="3">
        <v>2020</v>
      </c>
      <c r="Q155" s="3" t="s">
        <v>1461</v>
      </c>
      <c r="R155" s="3" t="s">
        <v>244</v>
      </c>
      <c r="S155" s="3" t="s">
        <v>1403</v>
      </c>
      <c r="T155" s="3" t="s">
        <v>90</v>
      </c>
      <c r="U155" s="3" t="s">
        <v>86</v>
      </c>
      <c r="V155" s="3" t="s">
        <v>1462</v>
      </c>
      <c r="W155" s="3" t="s">
        <v>1463</v>
      </c>
      <c r="X155" s="3" t="s">
        <v>1464</v>
      </c>
      <c r="Y155" s="3" t="s">
        <v>1465</v>
      </c>
      <c r="Z155" s="3" t="s">
        <v>1466</v>
      </c>
      <c r="AA155" s="3" t="s">
        <v>96</v>
      </c>
      <c r="AB155" s="3">
        <v>55</v>
      </c>
      <c r="AC155" s="3">
        <f t="shared" si="12"/>
        <v>0</v>
      </c>
      <c r="AD155" s="3">
        <f t="shared" si="13"/>
        <v>1</v>
      </c>
      <c r="AG155" s="20" t="s">
        <v>1378</v>
      </c>
      <c r="AH155" s="3" t="s">
        <v>1347</v>
      </c>
      <c r="AI155" s="3">
        <f t="shared" si="14"/>
        <v>0</v>
      </c>
      <c r="AJ155" s="3" t="str">
        <f ca="1">IFERROR(_xludf.MINIFS($P$2:$P$175,$A$2:$A$175,$A155,$C$2:$C$175,$C155,$AC$2:$AC$175,1),"")</f>
        <v/>
      </c>
    </row>
    <row r="156" spans="1:36" x14ac:dyDescent="0.2">
      <c r="A156" s="3" t="s">
        <v>1367</v>
      </c>
      <c r="B156" s="3" t="s">
        <v>1368</v>
      </c>
      <c r="C156" s="3" t="s">
        <v>1459</v>
      </c>
      <c r="D156" s="3" t="s">
        <v>1370</v>
      </c>
      <c r="E156" s="3" t="s">
        <v>76</v>
      </c>
      <c r="F156" s="3" t="s">
        <v>1335</v>
      </c>
      <c r="G156" s="3" t="s">
        <v>1336</v>
      </c>
      <c r="H156" s="3" t="s">
        <v>79</v>
      </c>
      <c r="I156" s="3" t="s">
        <v>99</v>
      </c>
      <c r="J156" s="3" t="s">
        <v>215</v>
      </c>
      <c r="K156" s="3" t="s">
        <v>1379</v>
      </c>
      <c r="L156" s="3" t="s">
        <v>262</v>
      </c>
      <c r="M156" s="3" t="s">
        <v>84</v>
      </c>
      <c r="N156" s="3" t="s">
        <v>85</v>
      </c>
      <c r="O156" s="3" t="s">
        <v>135</v>
      </c>
      <c r="P156" s="3">
        <v>2024</v>
      </c>
      <c r="Q156" s="3" t="s">
        <v>1467</v>
      </c>
      <c r="R156" s="3" t="s">
        <v>264</v>
      </c>
      <c r="S156" s="3" t="s">
        <v>1410</v>
      </c>
      <c r="T156" s="3" t="s">
        <v>90</v>
      </c>
      <c r="U156" s="3" t="s">
        <v>396</v>
      </c>
      <c r="V156" s="3" t="s">
        <v>1468</v>
      </c>
      <c r="W156" s="3" t="s">
        <v>1469</v>
      </c>
      <c r="X156" s="3" t="s">
        <v>1464</v>
      </c>
      <c r="Y156" s="3" t="s">
        <v>1470</v>
      </c>
      <c r="Z156" s="3" t="s">
        <v>1471</v>
      </c>
      <c r="AA156" s="3" t="s">
        <v>96</v>
      </c>
      <c r="AB156" s="3">
        <v>55</v>
      </c>
      <c r="AC156" s="3">
        <f t="shared" si="12"/>
        <v>0</v>
      </c>
      <c r="AD156" s="3">
        <f t="shared" si="13"/>
        <v>1</v>
      </c>
      <c r="AH156" s="3" t="s">
        <v>1347</v>
      </c>
      <c r="AI156" s="3">
        <f t="shared" si="14"/>
        <v>0</v>
      </c>
      <c r="AJ156" s="3" t="str">
        <f ca="1">IFERROR(_xludf.MINIFS($P$2:$P$175,$A$2:$A$175,$A156,$C$2:$C$175,$C156,$AC$2:$AC$175,1),"")</f>
        <v/>
      </c>
    </row>
    <row r="157" spans="1:36" x14ac:dyDescent="0.2">
      <c r="A157" s="3" t="s">
        <v>1367</v>
      </c>
      <c r="B157" s="3" t="s">
        <v>1368</v>
      </c>
      <c r="C157" s="3" t="s">
        <v>1459</v>
      </c>
      <c r="D157" s="3" t="s">
        <v>1370</v>
      </c>
      <c r="E157" s="3" t="s">
        <v>76</v>
      </c>
      <c r="F157" s="3" t="s">
        <v>1335</v>
      </c>
      <c r="G157" s="3" t="s">
        <v>1336</v>
      </c>
      <c r="H157" s="3" t="s">
        <v>79</v>
      </c>
      <c r="I157" s="3" t="s">
        <v>113</v>
      </c>
      <c r="J157" s="3" t="s">
        <v>215</v>
      </c>
      <c r="K157" s="3" t="s">
        <v>218</v>
      </c>
      <c r="L157" s="3" t="s">
        <v>1472</v>
      </c>
      <c r="M157" s="3" t="s">
        <v>218</v>
      </c>
      <c r="N157" s="3" t="s">
        <v>85</v>
      </c>
      <c r="O157" s="3" t="s">
        <v>104</v>
      </c>
      <c r="P157" s="3"/>
      <c r="Q157" s="3"/>
      <c r="R157" s="3" t="s">
        <v>221</v>
      </c>
      <c r="S157" s="3"/>
      <c r="T157" s="3" t="s">
        <v>90</v>
      </c>
      <c r="U157" s="3" t="s">
        <v>836</v>
      </c>
      <c r="V157" s="3"/>
      <c r="W157" s="3"/>
      <c r="X157" s="3"/>
      <c r="Y157" s="3" t="s">
        <v>837</v>
      </c>
      <c r="Z157" s="3"/>
      <c r="AA157" s="3" t="s">
        <v>96</v>
      </c>
      <c r="AB157" s="3">
        <v>55</v>
      </c>
      <c r="AC157" s="3">
        <f t="shared" si="12"/>
        <v>0</v>
      </c>
      <c r="AD157" s="3">
        <f t="shared" si="13"/>
        <v>0</v>
      </c>
      <c r="AH157" s="3" t="s">
        <v>1347</v>
      </c>
      <c r="AI157" s="3">
        <f t="shared" si="14"/>
        <v>0</v>
      </c>
      <c r="AJ157" s="3" t="str">
        <f ca="1">IFERROR(_xludf.MINIFS($P$2:$P$175,$A$2:$A$175,$A157,$C$2:$C$175,$C157,$AC$2:$AC$175,1),"")</f>
        <v/>
      </c>
    </row>
    <row r="158" spans="1:36" x14ac:dyDescent="0.2">
      <c r="A158" s="3" t="s">
        <v>1367</v>
      </c>
      <c r="B158" s="3" t="s">
        <v>1368</v>
      </c>
      <c r="C158" s="3" t="s">
        <v>1473</v>
      </c>
      <c r="D158" s="3" t="s">
        <v>1370</v>
      </c>
      <c r="E158" s="3" t="s">
        <v>76</v>
      </c>
      <c r="F158" s="3" t="s">
        <v>1335</v>
      </c>
      <c r="G158" s="3" t="s">
        <v>1336</v>
      </c>
      <c r="H158" s="3" t="s">
        <v>79</v>
      </c>
      <c r="I158" s="3" t="s">
        <v>80</v>
      </c>
      <c r="J158" s="3" t="s">
        <v>215</v>
      </c>
      <c r="K158" s="3" t="s">
        <v>1371</v>
      </c>
      <c r="L158" s="3" t="s">
        <v>262</v>
      </c>
      <c r="M158" s="3" t="s">
        <v>84</v>
      </c>
      <c r="N158" s="3" t="s">
        <v>85</v>
      </c>
      <c r="O158" s="3" t="s">
        <v>135</v>
      </c>
      <c r="P158" s="3">
        <v>2024</v>
      </c>
      <c r="Q158" s="3" t="s">
        <v>1474</v>
      </c>
      <c r="R158" s="3" t="s">
        <v>264</v>
      </c>
      <c r="S158" s="3" t="s">
        <v>1410</v>
      </c>
      <c r="T158" s="3" t="s">
        <v>90</v>
      </c>
      <c r="U158" s="3" t="s">
        <v>107</v>
      </c>
      <c r="V158" s="3" t="s">
        <v>1362</v>
      </c>
      <c r="W158" s="3" t="s">
        <v>1475</v>
      </c>
      <c r="X158" s="3" t="s">
        <v>1476</v>
      </c>
      <c r="Y158" s="3" t="s">
        <v>1477</v>
      </c>
      <c r="Z158" s="3" t="s">
        <v>1478</v>
      </c>
      <c r="AA158" s="3" t="s">
        <v>96</v>
      </c>
      <c r="AB158" s="3">
        <v>56</v>
      </c>
      <c r="AC158" s="3">
        <f t="shared" si="12"/>
        <v>0</v>
      </c>
      <c r="AD158" s="3">
        <f t="shared" si="13"/>
        <v>1</v>
      </c>
      <c r="AG158" s="20" t="s">
        <v>1378</v>
      </c>
      <c r="AH158" s="3" t="s">
        <v>1347</v>
      </c>
      <c r="AI158" s="3">
        <f t="shared" si="14"/>
        <v>0</v>
      </c>
      <c r="AJ158" s="3" t="str">
        <f ca="1">IFERROR(_xludf.MINIFS($P$2:$P$175,$A$2:$A$175,$A158,$C$2:$C$175,$C158,$AC$2:$AC$175,1),"")</f>
        <v/>
      </c>
    </row>
    <row r="159" spans="1:36" x14ac:dyDescent="0.2">
      <c r="A159" s="3" t="s">
        <v>1367</v>
      </c>
      <c r="B159" s="3" t="s">
        <v>1368</v>
      </c>
      <c r="C159" s="3" t="s">
        <v>1473</v>
      </c>
      <c r="D159" s="3" t="s">
        <v>1370</v>
      </c>
      <c r="E159" s="3" t="s">
        <v>76</v>
      </c>
      <c r="F159" s="3" t="s">
        <v>1335</v>
      </c>
      <c r="G159" s="3" t="s">
        <v>1336</v>
      </c>
      <c r="H159" s="3" t="s">
        <v>79</v>
      </c>
      <c r="I159" s="3" t="s">
        <v>99</v>
      </c>
      <c r="J159" s="3" t="s">
        <v>215</v>
      </c>
      <c r="K159" s="3" t="s">
        <v>218</v>
      </c>
      <c r="L159" s="3" t="s">
        <v>1479</v>
      </c>
      <c r="M159" s="3" t="s">
        <v>218</v>
      </c>
      <c r="N159" s="3" t="s">
        <v>85</v>
      </c>
      <c r="O159" s="3" t="s">
        <v>104</v>
      </c>
      <c r="P159" s="3"/>
      <c r="Q159" s="3"/>
      <c r="R159" s="3" t="s">
        <v>221</v>
      </c>
      <c r="S159" s="3"/>
      <c r="T159" s="3" t="s">
        <v>90</v>
      </c>
      <c r="U159" s="3" t="s">
        <v>836</v>
      </c>
      <c r="V159" s="3"/>
      <c r="W159" s="3"/>
      <c r="X159" s="3"/>
      <c r="Y159" s="3" t="s">
        <v>837</v>
      </c>
      <c r="Z159" s="3"/>
      <c r="AA159" s="3" t="s">
        <v>96</v>
      </c>
      <c r="AB159" s="3">
        <v>56</v>
      </c>
      <c r="AC159" s="3">
        <f t="shared" si="12"/>
        <v>0</v>
      </c>
      <c r="AD159" s="3">
        <f t="shared" si="13"/>
        <v>0</v>
      </c>
      <c r="AH159" s="3" t="s">
        <v>1347</v>
      </c>
      <c r="AI159" s="3">
        <f t="shared" si="14"/>
        <v>0</v>
      </c>
      <c r="AJ159" s="3" t="str">
        <f ca="1">IFERROR(_xludf.MINIFS($P$2:$P$175,$A$2:$A$175,$A159,$C$2:$C$175,$C159,$AC$2:$AC$175,1),"")</f>
        <v/>
      </c>
    </row>
    <row r="160" spans="1:36" x14ac:dyDescent="0.2">
      <c r="A160" s="3" t="s">
        <v>1367</v>
      </c>
      <c r="B160" s="3" t="s">
        <v>1368</v>
      </c>
      <c r="C160" s="3" t="s">
        <v>1473</v>
      </c>
      <c r="D160" s="3" t="s">
        <v>1370</v>
      </c>
      <c r="E160" s="3" t="s">
        <v>76</v>
      </c>
      <c r="F160" s="3" t="s">
        <v>1335</v>
      </c>
      <c r="G160" s="3" t="s">
        <v>1336</v>
      </c>
      <c r="H160" s="3" t="s">
        <v>79</v>
      </c>
      <c r="I160" s="3" t="s">
        <v>113</v>
      </c>
      <c r="J160" s="3" t="s">
        <v>215</v>
      </c>
      <c r="K160" s="3" t="s">
        <v>218</v>
      </c>
      <c r="L160" s="3" t="s">
        <v>1480</v>
      </c>
      <c r="M160" s="3" t="s">
        <v>218</v>
      </c>
      <c r="N160" s="3" t="s">
        <v>85</v>
      </c>
      <c r="O160" s="3" t="s">
        <v>104</v>
      </c>
      <c r="P160" s="3"/>
      <c r="Q160" s="3"/>
      <c r="R160" s="3" t="s">
        <v>221</v>
      </c>
      <c r="S160" s="3"/>
      <c r="T160" s="3" t="s">
        <v>90</v>
      </c>
      <c r="U160" s="3" t="s">
        <v>836</v>
      </c>
      <c r="V160" s="3"/>
      <c r="W160" s="3"/>
      <c r="X160" s="3"/>
      <c r="Y160" s="3" t="s">
        <v>837</v>
      </c>
      <c r="Z160" s="3"/>
      <c r="AA160" s="3" t="s">
        <v>96</v>
      </c>
      <c r="AB160" s="3">
        <v>56</v>
      </c>
      <c r="AC160" s="3">
        <f t="shared" si="12"/>
        <v>0</v>
      </c>
      <c r="AD160" s="3">
        <f t="shared" si="13"/>
        <v>0</v>
      </c>
      <c r="AH160" s="3" t="s">
        <v>1347</v>
      </c>
      <c r="AI160" s="3">
        <f t="shared" si="14"/>
        <v>0</v>
      </c>
      <c r="AJ160" s="3" t="str">
        <f ca="1">IFERROR(_xludf.MINIFS($P$2:$P$175,$A$2:$A$175,$A160,$C$2:$C$175,$C160,$AC$2:$AC$175,1),"")</f>
        <v/>
      </c>
    </row>
    <row r="161" spans="1:36" x14ac:dyDescent="0.2">
      <c r="A161" s="3" t="s">
        <v>1396</v>
      </c>
      <c r="B161" s="3" t="s">
        <v>1397</v>
      </c>
      <c r="C161" s="3" t="s">
        <v>1481</v>
      </c>
      <c r="D161" s="3" t="s">
        <v>1399</v>
      </c>
      <c r="E161" s="3" t="s">
        <v>1400</v>
      </c>
      <c r="F161" s="3" t="s">
        <v>1335</v>
      </c>
      <c r="G161" s="3" t="s">
        <v>1336</v>
      </c>
      <c r="H161" s="3" t="s">
        <v>79</v>
      </c>
      <c r="I161" s="3" t="s">
        <v>80</v>
      </c>
      <c r="J161" s="3" t="s">
        <v>215</v>
      </c>
      <c r="K161" s="3" t="s">
        <v>1371</v>
      </c>
      <c r="L161" s="3" t="s">
        <v>101</v>
      </c>
      <c r="M161" s="3" t="s">
        <v>102</v>
      </c>
      <c r="N161" s="3" t="s">
        <v>103</v>
      </c>
      <c r="O161" s="3" t="s">
        <v>104</v>
      </c>
      <c r="P161" s="3">
        <v>2024</v>
      </c>
      <c r="Q161" s="3" t="s">
        <v>1482</v>
      </c>
      <c r="R161" s="3" t="s">
        <v>1360</v>
      </c>
      <c r="S161" s="3" t="s">
        <v>1483</v>
      </c>
      <c r="T161" s="3" t="s">
        <v>90</v>
      </c>
      <c r="U161" s="3" t="s">
        <v>222</v>
      </c>
      <c r="V161" s="3" t="s">
        <v>1484</v>
      </c>
      <c r="W161" s="3" t="s">
        <v>1419</v>
      </c>
      <c r="X161" s="3" t="s">
        <v>1485</v>
      </c>
      <c r="Y161" s="3" t="s">
        <v>1486</v>
      </c>
      <c r="Z161" s="3" t="s">
        <v>1487</v>
      </c>
      <c r="AA161" s="3" t="s">
        <v>96</v>
      </c>
      <c r="AB161" s="3">
        <v>57</v>
      </c>
      <c r="AC161" s="3">
        <f t="shared" si="12"/>
        <v>1</v>
      </c>
      <c r="AD161" s="3">
        <f t="shared" si="13"/>
        <v>1</v>
      </c>
      <c r="AG161" s="20" t="s">
        <v>1408</v>
      </c>
      <c r="AH161" s="3" t="s">
        <v>1347</v>
      </c>
      <c r="AI161" s="3">
        <f t="shared" si="14"/>
        <v>1</v>
      </c>
      <c r="AJ161" s="3" t="str">
        <f ca="1">IFERROR(_xludf.MINIFS($P$2:$P$175,$A$2:$A$175,$A161,$C$2:$C$175,$C161,$AC$2:$AC$175,1),"")</f>
        <v/>
      </c>
    </row>
    <row r="162" spans="1:36" x14ac:dyDescent="0.2">
      <c r="A162" s="3" t="s">
        <v>1396</v>
      </c>
      <c r="B162" s="3" t="s">
        <v>1397</v>
      </c>
      <c r="C162" s="3" t="s">
        <v>1481</v>
      </c>
      <c r="D162" s="3" t="s">
        <v>1399</v>
      </c>
      <c r="E162" s="3" t="s">
        <v>1400</v>
      </c>
      <c r="F162" s="3" t="s">
        <v>1335</v>
      </c>
      <c r="G162" s="3" t="s">
        <v>1336</v>
      </c>
      <c r="H162" s="3" t="s">
        <v>79</v>
      </c>
      <c r="I162" s="3" t="s">
        <v>99</v>
      </c>
      <c r="J162" s="3" t="s">
        <v>215</v>
      </c>
      <c r="K162" s="3" t="s">
        <v>1488</v>
      </c>
      <c r="L162" s="3" t="s">
        <v>1349</v>
      </c>
      <c r="M162" s="3" t="s">
        <v>218</v>
      </c>
      <c r="N162" s="3" t="s">
        <v>85</v>
      </c>
      <c r="O162" s="3" t="s">
        <v>104</v>
      </c>
      <c r="P162" s="3">
        <v>2024</v>
      </c>
      <c r="Q162" s="3" t="s">
        <v>1350</v>
      </c>
      <c r="R162" s="3" t="s">
        <v>264</v>
      </c>
      <c r="S162" s="3" t="s">
        <v>1410</v>
      </c>
      <c r="T162" s="3" t="s">
        <v>90</v>
      </c>
      <c r="U162" s="3" t="s">
        <v>222</v>
      </c>
      <c r="V162" s="3" t="s">
        <v>1411</v>
      </c>
      <c r="W162" s="3" t="s">
        <v>1419</v>
      </c>
      <c r="X162" s="3" t="s">
        <v>1489</v>
      </c>
      <c r="Y162" s="3" t="s">
        <v>1490</v>
      </c>
      <c r="Z162" s="3" t="s">
        <v>1491</v>
      </c>
      <c r="AA162" s="3" t="s">
        <v>96</v>
      </c>
      <c r="AB162" s="3">
        <v>57</v>
      </c>
      <c r="AC162" s="3">
        <f t="shared" ref="AC162:AC175" si="15">IF(OR($M162="Positive",$M162="Restricted Positive"),1,0)</f>
        <v>0</v>
      </c>
      <c r="AD162" s="3">
        <f t="shared" ref="AD162:AD175" si="16">IF($M162="Not Evaluated",0,1)</f>
        <v>0</v>
      </c>
      <c r="AH162" s="3" t="s">
        <v>1347</v>
      </c>
      <c r="AI162" s="3">
        <f t="shared" ref="AI162:AI175" si="17">IF(COUNTIFS($A$2:$A$175,$A162,$C$2:$C$175,$C162,$AC$2:$AC$175,1)&gt;0,1,0)</f>
        <v>1</v>
      </c>
      <c r="AJ162" s="3" t="str">
        <f ca="1">IFERROR(_xludf.MINIFS($P$2:$P$175,$A$2:$A$175,$A162,$C$2:$C$175,$C162,$AC$2:$AC$175,1),"")</f>
        <v/>
      </c>
    </row>
    <row r="163" spans="1:36" x14ac:dyDescent="0.2">
      <c r="A163" s="3" t="s">
        <v>1396</v>
      </c>
      <c r="B163" s="3" t="s">
        <v>1397</v>
      </c>
      <c r="C163" s="3" t="s">
        <v>1481</v>
      </c>
      <c r="D163" s="3" t="s">
        <v>1399</v>
      </c>
      <c r="E163" s="3" t="s">
        <v>1400</v>
      </c>
      <c r="F163" s="3" t="s">
        <v>1335</v>
      </c>
      <c r="G163" s="3" t="s">
        <v>1336</v>
      </c>
      <c r="H163" s="3" t="s">
        <v>79</v>
      </c>
      <c r="I163" s="3" t="s">
        <v>113</v>
      </c>
      <c r="J163" s="3" t="s">
        <v>130</v>
      </c>
      <c r="K163" s="3" t="s">
        <v>1492</v>
      </c>
      <c r="L163" s="3" t="s">
        <v>1417</v>
      </c>
      <c r="M163" s="3" t="s">
        <v>218</v>
      </c>
      <c r="N163" s="3" t="s">
        <v>85</v>
      </c>
      <c r="O163" s="3" t="s">
        <v>104</v>
      </c>
      <c r="P163" s="3">
        <v>2023</v>
      </c>
      <c r="Q163" s="3" t="s">
        <v>1493</v>
      </c>
      <c r="R163" s="3" t="s">
        <v>264</v>
      </c>
      <c r="S163" s="3" t="s">
        <v>1419</v>
      </c>
      <c r="T163" s="3" t="s">
        <v>90</v>
      </c>
      <c r="U163" s="3" t="s">
        <v>329</v>
      </c>
      <c r="V163" s="3" t="s">
        <v>1362</v>
      </c>
      <c r="W163" s="3" t="s">
        <v>1419</v>
      </c>
      <c r="X163" s="3" t="s">
        <v>1485</v>
      </c>
      <c r="Y163" s="3" t="s">
        <v>1494</v>
      </c>
      <c r="Z163" s="3" t="s">
        <v>1495</v>
      </c>
      <c r="AA163" s="3" t="s">
        <v>96</v>
      </c>
      <c r="AB163" s="3">
        <v>57</v>
      </c>
      <c r="AC163" s="3">
        <f t="shared" si="15"/>
        <v>0</v>
      </c>
      <c r="AD163" s="3">
        <f t="shared" si="16"/>
        <v>0</v>
      </c>
      <c r="AH163" s="3" t="s">
        <v>1347</v>
      </c>
      <c r="AI163" s="3">
        <f t="shared" si="17"/>
        <v>1</v>
      </c>
      <c r="AJ163" s="3" t="str">
        <f ca="1">IFERROR(_xludf.MINIFS($P$2:$P$175,$A$2:$A$175,$A163,$C$2:$C$175,$C163,$AC$2:$AC$175,1),"")</f>
        <v/>
      </c>
    </row>
    <row r="164" spans="1:36" x14ac:dyDescent="0.2">
      <c r="A164" s="3" t="s">
        <v>1396</v>
      </c>
      <c r="B164" s="3" t="s">
        <v>1397</v>
      </c>
      <c r="C164" s="3" t="s">
        <v>1496</v>
      </c>
      <c r="D164" s="3" t="s">
        <v>1399</v>
      </c>
      <c r="E164" s="3" t="s">
        <v>1400</v>
      </c>
      <c r="F164" s="3" t="s">
        <v>1335</v>
      </c>
      <c r="G164" s="3" t="s">
        <v>1336</v>
      </c>
      <c r="H164" s="3" t="s">
        <v>79</v>
      </c>
      <c r="I164" s="3" t="s">
        <v>80</v>
      </c>
      <c r="J164" s="3" t="s">
        <v>215</v>
      </c>
      <c r="K164" s="3" t="s">
        <v>1497</v>
      </c>
      <c r="L164" s="3" t="s">
        <v>1498</v>
      </c>
      <c r="M164" s="3" t="s">
        <v>218</v>
      </c>
      <c r="N164" s="3" t="s">
        <v>85</v>
      </c>
      <c r="O164" s="3" t="s">
        <v>104</v>
      </c>
      <c r="P164" s="3">
        <v>2025</v>
      </c>
      <c r="Q164" s="3" t="s">
        <v>1499</v>
      </c>
      <c r="R164" s="3" t="s">
        <v>264</v>
      </c>
      <c r="S164" s="3" t="s">
        <v>1500</v>
      </c>
      <c r="T164" s="3" t="s">
        <v>90</v>
      </c>
      <c r="U164" s="3" t="s">
        <v>347</v>
      </c>
      <c r="V164" s="3" t="s">
        <v>1501</v>
      </c>
      <c r="W164" s="3" t="s">
        <v>1502</v>
      </c>
      <c r="X164" s="3" t="s">
        <v>1503</v>
      </c>
      <c r="Y164" s="3" t="s">
        <v>1504</v>
      </c>
      <c r="Z164" s="3" t="s">
        <v>1505</v>
      </c>
      <c r="AA164" s="3" t="s">
        <v>96</v>
      </c>
      <c r="AB164" s="3">
        <v>58</v>
      </c>
      <c r="AC164" s="3">
        <f t="shared" si="15"/>
        <v>0</v>
      </c>
      <c r="AD164" s="3">
        <f t="shared" si="16"/>
        <v>0</v>
      </c>
      <c r="AG164" s="20" t="s">
        <v>1408</v>
      </c>
      <c r="AH164" s="3" t="s">
        <v>1347</v>
      </c>
      <c r="AI164" s="3">
        <f t="shared" si="17"/>
        <v>0</v>
      </c>
      <c r="AJ164" s="3" t="str">
        <f ca="1">IFERROR(_xludf.MINIFS($P$2:$P$175,$A$2:$A$175,$A164,$C$2:$C$175,$C164,$AC$2:$AC$175,1),"")</f>
        <v/>
      </c>
    </row>
    <row r="165" spans="1:36" x14ac:dyDescent="0.2">
      <c r="A165" s="3" t="s">
        <v>1396</v>
      </c>
      <c r="B165" s="3" t="s">
        <v>1397</v>
      </c>
      <c r="C165" s="3" t="s">
        <v>1496</v>
      </c>
      <c r="D165" s="3" t="s">
        <v>1399</v>
      </c>
      <c r="E165" s="3" t="s">
        <v>1400</v>
      </c>
      <c r="F165" s="3" t="s">
        <v>1335</v>
      </c>
      <c r="G165" s="3" t="s">
        <v>1336</v>
      </c>
      <c r="H165" s="3" t="s">
        <v>79</v>
      </c>
      <c r="I165" s="3" t="s">
        <v>99</v>
      </c>
      <c r="J165" s="3" t="s">
        <v>215</v>
      </c>
      <c r="K165" s="3" t="s">
        <v>218</v>
      </c>
      <c r="L165" s="3" t="s">
        <v>1479</v>
      </c>
      <c r="M165" s="3" t="s">
        <v>218</v>
      </c>
      <c r="N165" s="3" t="s">
        <v>85</v>
      </c>
      <c r="O165" s="3" t="s">
        <v>104</v>
      </c>
      <c r="P165" s="3"/>
      <c r="Q165" s="3"/>
      <c r="R165" s="3" t="s">
        <v>221</v>
      </c>
      <c r="S165" s="3"/>
      <c r="T165" s="3" t="s">
        <v>90</v>
      </c>
      <c r="U165" s="3" t="s">
        <v>836</v>
      </c>
      <c r="V165" s="3"/>
      <c r="W165" s="3"/>
      <c r="X165" s="3"/>
      <c r="Y165" s="3" t="s">
        <v>837</v>
      </c>
      <c r="Z165" s="3"/>
      <c r="AA165" s="3" t="s">
        <v>96</v>
      </c>
      <c r="AB165" s="3">
        <v>58</v>
      </c>
      <c r="AC165" s="3">
        <f t="shared" si="15"/>
        <v>0</v>
      </c>
      <c r="AD165" s="3">
        <f t="shared" si="16"/>
        <v>0</v>
      </c>
      <c r="AH165" s="3" t="s">
        <v>1347</v>
      </c>
      <c r="AI165" s="3">
        <f t="shared" si="17"/>
        <v>0</v>
      </c>
      <c r="AJ165" s="3" t="str">
        <f ca="1">IFERROR(_xludf.MINIFS($P$2:$P$175,$A$2:$A$175,$A165,$C$2:$C$175,$C165,$AC$2:$AC$175,1),"")</f>
        <v/>
      </c>
    </row>
    <row r="166" spans="1:36" x14ac:dyDescent="0.2">
      <c r="A166" s="3" t="s">
        <v>1396</v>
      </c>
      <c r="B166" s="3" t="s">
        <v>1397</v>
      </c>
      <c r="C166" s="3" t="s">
        <v>1496</v>
      </c>
      <c r="D166" s="3" t="s">
        <v>1399</v>
      </c>
      <c r="E166" s="3" t="s">
        <v>1400</v>
      </c>
      <c r="F166" s="3" t="s">
        <v>1335</v>
      </c>
      <c r="G166" s="3" t="s">
        <v>1336</v>
      </c>
      <c r="H166" s="3" t="s">
        <v>79</v>
      </c>
      <c r="I166" s="3" t="s">
        <v>113</v>
      </c>
      <c r="J166" s="3" t="s">
        <v>130</v>
      </c>
      <c r="K166" s="3" t="s">
        <v>1506</v>
      </c>
      <c r="L166" s="3" t="s">
        <v>1507</v>
      </c>
      <c r="M166" s="3" t="s">
        <v>218</v>
      </c>
      <c r="N166" s="3" t="s">
        <v>85</v>
      </c>
      <c r="O166" s="3" t="s">
        <v>104</v>
      </c>
      <c r="P166" s="3">
        <v>2025</v>
      </c>
      <c r="Q166" s="3" t="s">
        <v>1508</v>
      </c>
      <c r="R166" s="3" t="s">
        <v>264</v>
      </c>
      <c r="S166" s="3" t="s">
        <v>1419</v>
      </c>
      <c r="T166" s="3" t="s">
        <v>90</v>
      </c>
      <c r="U166" s="3" t="s">
        <v>842</v>
      </c>
      <c r="V166" s="3" t="s">
        <v>1509</v>
      </c>
      <c r="W166" s="3" t="s">
        <v>1510</v>
      </c>
      <c r="X166" s="3" t="s">
        <v>1511</v>
      </c>
      <c r="Y166" s="3" t="s">
        <v>1512</v>
      </c>
      <c r="Z166" s="3" t="s">
        <v>1513</v>
      </c>
      <c r="AA166" s="3" t="s">
        <v>96</v>
      </c>
      <c r="AB166" s="3">
        <v>58</v>
      </c>
      <c r="AC166" s="3">
        <f t="shared" si="15"/>
        <v>0</v>
      </c>
      <c r="AD166" s="3">
        <f t="shared" si="16"/>
        <v>0</v>
      </c>
      <c r="AH166" s="3" t="s">
        <v>1347</v>
      </c>
      <c r="AI166" s="3">
        <f t="shared" si="17"/>
        <v>0</v>
      </c>
      <c r="AJ166" s="3" t="str">
        <f ca="1">IFERROR(_xludf.MINIFS($P$2:$P$175,$A$2:$A$175,$A166,$C$2:$C$175,$C166,$AC$2:$AC$175,1),"")</f>
        <v/>
      </c>
    </row>
    <row r="167" spans="1:36" x14ac:dyDescent="0.2">
      <c r="A167" s="3" t="s">
        <v>1514</v>
      </c>
      <c r="B167" s="3" t="s">
        <v>1515</v>
      </c>
      <c r="C167" s="3" t="s">
        <v>1516</v>
      </c>
      <c r="D167" s="3" t="s">
        <v>871</v>
      </c>
      <c r="E167" s="3" t="s">
        <v>825</v>
      </c>
      <c r="F167" s="3" t="s">
        <v>512</v>
      </c>
      <c r="G167" s="3" t="s">
        <v>750</v>
      </c>
      <c r="H167" s="3" t="s">
        <v>79</v>
      </c>
      <c r="I167" s="3" t="s">
        <v>80</v>
      </c>
      <c r="J167" s="3" t="s">
        <v>215</v>
      </c>
      <c r="K167" s="3" t="s">
        <v>1517</v>
      </c>
      <c r="L167" s="3" t="s">
        <v>393</v>
      </c>
      <c r="M167" s="3" t="s">
        <v>133</v>
      </c>
      <c r="N167" s="3" t="s">
        <v>134</v>
      </c>
      <c r="O167" s="3" t="s">
        <v>104</v>
      </c>
      <c r="P167" s="3">
        <v>2026</v>
      </c>
      <c r="Q167" s="3" t="s">
        <v>1518</v>
      </c>
      <c r="R167" s="3" t="s">
        <v>170</v>
      </c>
      <c r="S167" s="3" t="s">
        <v>1519</v>
      </c>
      <c r="T167" s="3" t="s">
        <v>90</v>
      </c>
      <c r="U167" s="3" t="s">
        <v>222</v>
      </c>
      <c r="V167" s="3" t="s">
        <v>1520</v>
      </c>
      <c r="W167" s="3" t="s">
        <v>1521</v>
      </c>
      <c r="X167" s="3" t="s">
        <v>1522</v>
      </c>
      <c r="Y167" s="3" t="s">
        <v>1523</v>
      </c>
      <c r="Z167" s="3" t="s">
        <v>1524</v>
      </c>
      <c r="AA167" s="3" t="s">
        <v>96</v>
      </c>
      <c r="AB167" s="3">
        <v>59</v>
      </c>
      <c r="AC167" s="3">
        <f t="shared" si="15"/>
        <v>1</v>
      </c>
      <c r="AD167" s="3">
        <f t="shared" si="16"/>
        <v>1</v>
      </c>
      <c r="AG167" s="20" t="s">
        <v>1525</v>
      </c>
      <c r="AH167" s="3" t="s">
        <v>512</v>
      </c>
      <c r="AI167" s="3">
        <f t="shared" si="17"/>
        <v>1</v>
      </c>
      <c r="AJ167" s="3" t="str">
        <f ca="1">IFERROR(_xludf.MINIFS($P$2:$P$175,$A$2:$A$175,$A167,$C$2:$C$175,$C167,$AC$2:$AC$175,1),"")</f>
        <v/>
      </c>
    </row>
    <row r="168" spans="1:36" x14ac:dyDescent="0.2">
      <c r="A168" s="3" t="s">
        <v>1514</v>
      </c>
      <c r="B168" s="3" t="s">
        <v>1515</v>
      </c>
      <c r="C168" s="3" t="s">
        <v>1516</v>
      </c>
      <c r="D168" s="3" t="s">
        <v>871</v>
      </c>
      <c r="E168" s="3" t="s">
        <v>825</v>
      </c>
      <c r="F168" s="3" t="s">
        <v>512</v>
      </c>
      <c r="G168" s="3" t="s">
        <v>750</v>
      </c>
      <c r="H168" s="3" t="s">
        <v>79</v>
      </c>
      <c r="I168" s="3" t="s">
        <v>99</v>
      </c>
      <c r="J168" s="3" t="s">
        <v>81</v>
      </c>
      <c r="K168" s="3" t="s">
        <v>1526</v>
      </c>
      <c r="L168" s="3" t="s">
        <v>253</v>
      </c>
      <c r="M168" s="3" t="s">
        <v>218</v>
      </c>
      <c r="N168" s="3" t="s">
        <v>85</v>
      </c>
      <c r="O168" s="3" t="s">
        <v>104</v>
      </c>
      <c r="P168" s="3"/>
      <c r="Q168" s="3"/>
      <c r="R168" s="3" t="s">
        <v>221</v>
      </c>
      <c r="S168" s="3" t="s">
        <v>104</v>
      </c>
      <c r="T168" s="3" t="s">
        <v>90</v>
      </c>
      <c r="U168" s="3" t="s">
        <v>347</v>
      </c>
      <c r="V168" s="3" t="s">
        <v>104</v>
      </c>
      <c r="W168" s="3" t="s">
        <v>104</v>
      </c>
      <c r="X168" s="3" t="s">
        <v>104</v>
      </c>
      <c r="Y168" s="3" t="s">
        <v>1527</v>
      </c>
      <c r="Z168" s="3" t="s">
        <v>1528</v>
      </c>
      <c r="AA168" s="3" t="s">
        <v>96</v>
      </c>
      <c r="AB168" s="3">
        <v>59</v>
      </c>
      <c r="AC168" s="3">
        <f t="shared" si="15"/>
        <v>0</v>
      </c>
      <c r="AD168" s="3">
        <f t="shared" si="16"/>
        <v>0</v>
      </c>
      <c r="AH168" s="3" t="s">
        <v>512</v>
      </c>
      <c r="AI168" s="3">
        <f t="shared" si="17"/>
        <v>1</v>
      </c>
      <c r="AJ168" s="3" t="str">
        <f ca="1">IFERROR(_xludf.MINIFS($P$2:$P$175,$A$2:$A$175,$A168,$C$2:$C$175,$C168,$AC$2:$AC$175,1),"")</f>
        <v/>
      </c>
    </row>
    <row r="169" spans="1:36" x14ac:dyDescent="0.2">
      <c r="A169" s="3" t="s">
        <v>1514</v>
      </c>
      <c r="B169" s="3" t="s">
        <v>1515</v>
      </c>
      <c r="C169" s="3" t="s">
        <v>1516</v>
      </c>
      <c r="D169" s="3" t="s">
        <v>871</v>
      </c>
      <c r="E169" s="3" t="s">
        <v>825</v>
      </c>
      <c r="F169" s="3" t="s">
        <v>512</v>
      </c>
      <c r="G169" s="3" t="s">
        <v>750</v>
      </c>
      <c r="H169" s="3" t="s">
        <v>79</v>
      </c>
      <c r="I169" s="3" t="s">
        <v>113</v>
      </c>
      <c r="J169" s="3" t="s">
        <v>130</v>
      </c>
      <c r="K169" s="3" t="s">
        <v>1529</v>
      </c>
      <c r="L169" s="3" t="s">
        <v>443</v>
      </c>
      <c r="M169" s="3" t="s">
        <v>84</v>
      </c>
      <c r="N169" s="3" t="s">
        <v>85</v>
      </c>
      <c r="O169" s="3" t="s">
        <v>135</v>
      </c>
      <c r="P169" s="3">
        <v>2021</v>
      </c>
      <c r="Q169" s="3" t="s">
        <v>1530</v>
      </c>
      <c r="R169" s="3" t="s">
        <v>170</v>
      </c>
      <c r="S169" s="3" t="s">
        <v>1519</v>
      </c>
      <c r="T169" s="3" t="s">
        <v>90</v>
      </c>
      <c r="U169" s="3" t="s">
        <v>740</v>
      </c>
      <c r="V169" s="3" t="s">
        <v>1531</v>
      </c>
      <c r="W169" s="3" t="s">
        <v>1532</v>
      </c>
      <c r="X169" s="3" t="s">
        <v>1533</v>
      </c>
      <c r="Y169" s="3" t="s">
        <v>1534</v>
      </c>
      <c r="Z169" s="3" t="s">
        <v>1535</v>
      </c>
      <c r="AA169" s="3" t="s">
        <v>96</v>
      </c>
      <c r="AB169" s="3">
        <v>59</v>
      </c>
      <c r="AC169" s="3">
        <f t="shared" si="15"/>
        <v>0</v>
      </c>
      <c r="AD169" s="3">
        <f t="shared" si="16"/>
        <v>1</v>
      </c>
      <c r="AH169" s="3" t="s">
        <v>512</v>
      </c>
      <c r="AI169" s="3">
        <f t="shared" si="17"/>
        <v>1</v>
      </c>
      <c r="AJ169" s="3" t="str">
        <f ca="1">IFERROR(_xludf.MINIFS($P$2:$P$175,$A$2:$A$175,$A169,$C$2:$C$175,$C169,$AC$2:$AC$175,1),"")</f>
        <v/>
      </c>
    </row>
    <row r="170" spans="1:36" x14ac:dyDescent="0.2">
      <c r="A170" s="3" t="s">
        <v>1536</v>
      </c>
      <c r="B170" s="3" t="s">
        <v>1537</v>
      </c>
      <c r="C170" s="3" t="s">
        <v>1538</v>
      </c>
      <c r="D170" s="3" t="s">
        <v>479</v>
      </c>
      <c r="E170" s="3" t="s">
        <v>480</v>
      </c>
      <c r="F170" s="3" t="s">
        <v>1539</v>
      </c>
      <c r="G170" s="3" t="s">
        <v>1540</v>
      </c>
      <c r="H170" s="3" t="s">
        <v>457</v>
      </c>
      <c r="I170" s="3" t="s">
        <v>80</v>
      </c>
      <c r="J170" s="3" t="s">
        <v>215</v>
      </c>
      <c r="K170" s="3" t="s">
        <v>1517</v>
      </c>
      <c r="L170" s="3" t="s">
        <v>393</v>
      </c>
      <c r="M170" s="3" t="s">
        <v>133</v>
      </c>
      <c r="N170" s="3" t="s">
        <v>134</v>
      </c>
      <c r="O170" s="3" t="s">
        <v>104</v>
      </c>
      <c r="P170" s="3">
        <v>2026</v>
      </c>
      <c r="Q170" s="3" t="s">
        <v>1518</v>
      </c>
      <c r="R170" s="3" t="s">
        <v>264</v>
      </c>
      <c r="S170" s="3" t="s">
        <v>1541</v>
      </c>
      <c r="T170" s="3" t="s">
        <v>90</v>
      </c>
      <c r="U170" s="3" t="s">
        <v>365</v>
      </c>
      <c r="V170" s="3" t="s">
        <v>1542</v>
      </c>
      <c r="W170" s="3" t="s">
        <v>1543</v>
      </c>
      <c r="X170" s="3" t="s">
        <v>1544</v>
      </c>
      <c r="Y170" s="3" t="s">
        <v>1545</v>
      </c>
      <c r="Z170" s="3" t="s">
        <v>1546</v>
      </c>
      <c r="AA170" s="3" t="s">
        <v>96</v>
      </c>
      <c r="AB170" s="3">
        <v>60</v>
      </c>
      <c r="AC170" s="3">
        <f t="shared" si="15"/>
        <v>1</v>
      </c>
      <c r="AD170" s="3">
        <f t="shared" si="16"/>
        <v>1</v>
      </c>
      <c r="AG170" s="20" t="s">
        <v>1547</v>
      </c>
      <c r="AH170" s="3" t="s">
        <v>432</v>
      </c>
      <c r="AI170" s="3">
        <f t="shared" si="17"/>
        <v>1</v>
      </c>
      <c r="AJ170" s="3" t="str">
        <f ca="1">IFERROR(_xludf.MINIFS($P$2:$P$175,$A$2:$A$175,$A170,$C$2:$C$175,$C170,$AC$2:$AC$175,1),"")</f>
        <v/>
      </c>
    </row>
    <row r="171" spans="1:36" x14ac:dyDescent="0.2">
      <c r="A171" s="3" t="s">
        <v>1536</v>
      </c>
      <c r="B171" s="3" t="s">
        <v>1537</v>
      </c>
      <c r="C171" s="3" t="s">
        <v>1538</v>
      </c>
      <c r="D171" s="3" t="s">
        <v>479</v>
      </c>
      <c r="E171" s="3" t="s">
        <v>480</v>
      </c>
      <c r="F171" s="3" t="s">
        <v>1539</v>
      </c>
      <c r="G171" s="3" t="s">
        <v>1540</v>
      </c>
      <c r="H171" s="3" t="s">
        <v>457</v>
      </c>
      <c r="I171" s="3" t="s">
        <v>99</v>
      </c>
      <c r="J171" s="3" t="s">
        <v>81</v>
      </c>
      <c r="K171" s="3" t="s">
        <v>1526</v>
      </c>
      <c r="L171" s="3" t="s">
        <v>253</v>
      </c>
      <c r="M171" s="3" t="s">
        <v>218</v>
      </c>
      <c r="N171" s="3" t="s">
        <v>85</v>
      </c>
      <c r="O171" s="3" t="s">
        <v>104</v>
      </c>
      <c r="P171" s="3"/>
      <c r="Q171" s="3"/>
      <c r="R171" s="3" t="s">
        <v>221</v>
      </c>
      <c r="S171" s="3" t="s">
        <v>104</v>
      </c>
      <c r="T171" s="3" t="s">
        <v>90</v>
      </c>
      <c r="U171" s="3" t="s">
        <v>347</v>
      </c>
      <c r="V171" s="3" t="s">
        <v>104</v>
      </c>
      <c r="W171" s="3" t="s">
        <v>104</v>
      </c>
      <c r="X171" s="3" t="s">
        <v>104</v>
      </c>
      <c r="Y171" s="3" t="s">
        <v>1548</v>
      </c>
      <c r="Z171" s="3" t="s">
        <v>1528</v>
      </c>
      <c r="AA171" s="3" t="s">
        <v>96</v>
      </c>
      <c r="AB171" s="3">
        <v>60</v>
      </c>
      <c r="AC171" s="3">
        <f t="shared" si="15"/>
        <v>0</v>
      </c>
      <c r="AD171" s="3">
        <f t="shared" si="16"/>
        <v>0</v>
      </c>
      <c r="AH171" s="3" t="s">
        <v>432</v>
      </c>
      <c r="AI171" s="3">
        <f t="shared" si="17"/>
        <v>1</v>
      </c>
      <c r="AJ171" s="3" t="str">
        <f ca="1">IFERROR(_xludf.MINIFS($P$2:$P$175,$A$2:$A$175,$A171,$C$2:$C$175,$C171,$AC$2:$AC$175,1),"")</f>
        <v/>
      </c>
    </row>
    <row r="172" spans="1:36" x14ac:dyDescent="0.2">
      <c r="A172" s="3" t="s">
        <v>1536</v>
      </c>
      <c r="B172" s="3" t="s">
        <v>1537</v>
      </c>
      <c r="C172" s="3" t="s">
        <v>1538</v>
      </c>
      <c r="D172" s="3" t="s">
        <v>479</v>
      </c>
      <c r="E172" s="3" t="s">
        <v>480</v>
      </c>
      <c r="F172" s="3" t="s">
        <v>1539</v>
      </c>
      <c r="G172" s="3" t="s">
        <v>1540</v>
      </c>
      <c r="H172" s="3" t="s">
        <v>457</v>
      </c>
      <c r="I172" s="3" t="s">
        <v>113</v>
      </c>
      <c r="J172" s="3" t="s">
        <v>130</v>
      </c>
      <c r="K172" s="3" t="s">
        <v>1549</v>
      </c>
      <c r="L172" s="3" t="s">
        <v>443</v>
      </c>
      <c r="M172" s="3" t="s">
        <v>84</v>
      </c>
      <c r="N172" s="3" t="s">
        <v>85</v>
      </c>
      <c r="O172" s="3" t="s">
        <v>135</v>
      </c>
      <c r="P172" s="3">
        <v>2022</v>
      </c>
      <c r="Q172" s="3" t="s">
        <v>1550</v>
      </c>
      <c r="R172" s="3" t="s">
        <v>264</v>
      </c>
      <c r="S172" s="3" t="s">
        <v>1551</v>
      </c>
      <c r="T172" s="3" t="s">
        <v>90</v>
      </c>
      <c r="U172" s="3" t="s">
        <v>740</v>
      </c>
      <c r="V172" s="3" t="s">
        <v>1552</v>
      </c>
      <c r="W172" s="3" t="s">
        <v>1553</v>
      </c>
      <c r="X172" s="3" t="s">
        <v>1554</v>
      </c>
      <c r="Y172" s="3" t="s">
        <v>1555</v>
      </c>
      <c r="Z172" s="3" t="s">
        <v>1556</v>
      </c>
      <c r="AA172" s="3" t="s">
        <v>96</v>
      </c>
      <c r="AB172" s="3">
        <v>60</v>
      </c>
      <c r="AC172" s="3">
        <f t="shared" si="15"/>
        <v>0</v>
      </c>
      <c r="AD172" s="3">
        <f t="shared" si="16"/>
        <v>1</v>
      </c>
      <c r="AH172" s="3" t="s">
        <v>432</v>
      </c>
      <c r="AI172" s="3">
        <f t="shared" si="17"/>
        <v>1</v>
      </c>
      <c r="AJ172" s="3" t="str">
        <f ca="1">IFERROR(_xludf.MINIFS($P$2:$P$175,$A$2:$A$175,$A172,$C$2:$C$175,$C172,$AC$2:$AC$175,1),"")</f>
        <v/>
      </c>
    </row>
    <row r="173" spans="1:36" x14ac:dyDescent="0.2">
      <c r="A173" s="3" t="s">
        <v>1557</v>
      </c>
      <c r="B173" s="3" t="s">
        <v>1558</v>
      </c>
      <c r="C173" s="3" t="s">
        <v>1559</v>
      </c>
      <c r="D173" s="3" t="s">
        <v>1370</v>
      </c>
      <c r="E173" s="3" t="s">
        <v>76</v>
      </c>
      <c r="F173" s="3" t="s">
        <v>77</v>
      </c>
      <c r="G173" s="3" t="s">
        <v>1560</v>
      </c>
      <c r="H173" s="3" t="s">
        <v>260</v>
      </c>
      <c r="I173" s="3" t="s">
        <v>80</v>
      </c>
      <c r="J173" s="3" t="s">
        <v>215</v>
      </c>
      <c r="K173" s="3" t="s">
        <v>1561</v>
      </c>
      <c r="L173" s="3" t="s">
        <v>1098</v>
      </c>
      <c r="M173" s="3" t="s">
        <v>363</v>
      </c>
      <c r="N173" s="3" t="s">
        <v>85</v>
      </c>
      <c r="O173" s="3" t="s">
        <v>104</v>
      </c>
      <c r="P173" s="3"/>
      <c r="Q173" s="3"/>
      <c r="R173" s="3" t="s">
        <v>170</v>
      </c>
      <c r="S173" s="3" t="s">
        <v>170</v>
      </c>
      <c r="T173" s="3" t="s">
        <v>90</v>
      </c>
      <c r="U173" s="3" t="s">
        <v>246</v>
      </c>
      <c r="V173" s="3" t="s">
        <v>1562</v>
      </c>
      <c r="W173" s="3" t="s">
        <v>1563</v>
      </c>
      <c r="X173" s="3" t="s">
        <v>104</v>
      </c>
      <c r="Y173" s="3" t="s">
        <v>1564</v>
      </c>
      <c r="Z173" s="3" t="s">
        <v>1565</v>
      </c>
      <c r="AA173" s="3" t="s">
        <v>96</v>
      </c>
      <c r="AB173" s="3">
        <v>61</v>
      </c>
      <c r="AC173" s="3">
        <f t="shared" si="15"/>
        <v>0</v>
      </c>
      <c r="AD173" s="3">
        <f t="shared" si="16"/>
        <v>1</v>
      </c>
      <c r="AG173" s="20" t="s">
        <v>1566</v>
      </c>
      <c r="AH173" s="3" t="s">
        <v>98</v>
      </c>
      <c r="AI173" s="3">
        <f t="shared" si="17"/>
        <v>1</v>
      </c>
      <c r="AJ173" s="3" t="str">
        <f ca="1">IFERROR(_xludf.MINIFS($P$2:$P$175,$A$2:$A$175,$A173,$C$2:$C$175,$C173,$AC$2:$AC$175,1),"")</f>
        <v/>
      </c>
    </row>
    <row r="174" spans="1:36" x14ac:dyDescent="0.2">
      <c r="A174" s="3" t="s">
        <v>1557</v>
      </c>
      <c r="B174" s="3" t="s">
        <v>1558</v>
      </c>
      <c r="C174" s="3" t="s">
        <v>1559</v>
      </c>
      <c r="D174" s="3" t="s">
        <v>1370</v>
      </c>
      <c r="E174" s="3" t="s">
        <v>76</v>
      </c>
      <c r="F174" s="3" t="s">
        <v>77</v>
      </c>
      <c r="G174" s="3" t="s">
        <v>1560</v>
      </c>
      <c r="H174" s="3" t="s">
        <v>260</v>
      </c>
      <c r="I174" s="3" t="s">
        <v>99</v>
      </c>
      <c r="J174" s="3" t="s">
        <v>81</v>
      </c>
      <c r="K174" s="3" t="s">
        <v>1567</v>
      </c>
      <c r="L174" s="3" t="s">
        <v>1016</v>
      </c>
      <c r="M174" s="3" t="s">
        <v>102</v>
      </c>
      <c r="N174" s="3" t="s">
        <v>103</v>
      </c>
      <c r="O174" s="3" t="s">
        <v>104</v>
      </c>
      <c r="P174" s="3">
        <v>2020</v>
      </c>
      <c r="Q174" s="3" t="s">
        <v>1568</v>
      </c>
      <c r="R174" s="3" t="s">
        <v>264</v>
      </c>
      <c r="S174" s="3" t="s">
        <v>1569</v>
      </c>
      <c r="T174" s="3" t="s">
        <v>90</v>
      </c>
      <c r="U174" s="3" t="s">
        <v>352</v>
      </c>
      <c r="V174" s="3" t="s">
        <v>1570</v>
      </c>
      <c r="W174" s="3" t="s">
        <v>1571</v>
      </c>
      <c r="X174" s="3" t="s">
        <v>1572</v>
      </c>
      <c r="Y174" s="3" t="s">
        <v>1573</v>
      </c>
      <c r="Z174" s="3" t="s">
        <v>1574</v>
      </c>
      <c r="AA174" s="3" t="s">
        <v>96</v>
      </c>
      <c r="AB174" s="3">
        <v>61</v>
      </c>
      <c r="AC174" s="3">
        <f t="shared" si="15"/>
        <v>1</v>
      </c>
      <c r="AD174" s="3">
        <f t="shared" si="16"/>
        <v>1</v>
      </c>
      <c r="AH174" s="3" t="s">
        <v>98</v>
      </c>
      <c r="AI174" s="3">
        <f t="shared" si="17"/>
        <v>1</v>
      </c>
      <c r="AJ174" s="3" t="str">
        <f ca="1">IFERROR(_xludf.MINIFS($P$2:$P$175,$A$2:$A$175,$A174,$C$2:$C$175,$C174,$AC$2:$AC$175,1),"")</f>
        <v/>
      </c>
    </row>
    <row r="175" spans="1:36" x14ac:dyDescent="0.2">
      <c r="A175" s="3" t="s">
        <v>1557</v>
      </c>
      <c r="B175" s="3" t="s">
        <v>1558</v>
      </c>
      <c r="C175" s="3" t="s">
        <v>1559</v>
      </c>
      <c r="D175" s="3" t="s">
        <v>1370</v>
      </c>
      <c r="E175" s="3" t="s">
        <v>76</v>
      </c>
      <c r="F175" s="3" t="s">
        <v>77</v>
      </c>
      <c r="G175" s="3" t="s">
        <v>1560</v>
      </c>
      <c r="H175" s="3" t="s">
        <v>260</v>
      </c>
      <c r="I175" s="3" t="s">
        <v>113</v>
      </c>
      <c r="J175" s="3" t="s">
        <v>130</v>
      </c>
      <c r="K175" s="3" t="s">
        <v>1575</v>
      </c>
      <c r="L175" s="3" t="s">
        <v>977</v>
      </c>
      <c r="M175" s="3" t="s">
        <v>133</v>
      </c>
      <c r="N175" s="3" t="s">
        <v>134</v>
      </c>
      <c r="O175" s="3" t="s">
        <v>104</v>
      </c>
      <c r="P175" s="3">
        <v>2021</v>
      </c>
      <c r="Q175" s="3" t="s">
        <v>1576</v>
      </c>
      <c r="R175" s="3" t="s">
        <v>264</v>
      </c>
      <c r="S175" s="3" t="s">
        <v>1569</v>
      </c>
      <c r="T175" s="3" t="s">
        <v>119</v>
      </c>
      <c r="U175" s="3" t="s">
        <v>107</v>
      </c>
      <c r="V175" s="3" t="s">
        <v>1577</v>
      </c>
      <c r="W175" s="3" t="s">
        <v>1578</v>
      </c>
      <c r="X175" s="3" t="s">
        <v>1579</v>
      </c>
      <c r="Y175" s="3" t="s">
        <v>1580</v>
      </c>
      <c r="Z175" s="3" t="s">
        <v>1581</v>
      </c>
      <c r="AA175" s="3" t="s">
        <v>96</v>
      </c>
      <c r="AB175" s="3">
        <v>61</v>
      </c>
      <c r="AC175" s="3">
        <f t="shared" si="15"/>
        <v>1</v>
      </c>
      <c r="AD175" s="3">
        <f t="shared" si="16"/>
        <v>1</v>
      </c>
      <c r="AH175" s="3" t="s">
        <v>98</v>
      </c>
      <c r="AI175" s="3">
        <f t="shared" si="17"/>
        <v>1</v>
      </c>
      <c r="AJ175" s="3" t="str">
        <f ca="1">IFERROR(_xludf.MINIFS($P$2:$P$175,$A$2:$A$175,$A175,$C$2:$C$175,$C175,$AC$2:$AC$175,1),"")</f>
        <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M25"/>
  <sheetViews>
    <sheetView showGridLines="0" workbookViewId="0"/>
  </sheetViews>
  <sheetFormatPr baseColWidth="10" defaultColWidth="8.83203125" defaultRowHeight="15" x14ac:dyDescent="0.2"/>
  <cols>
    <col min="1" max="1" width="3" customWidth="1"/>
    <col min="2" max="2" width="18" customWidth="1"/>
    <col min="3" max="11" width="14" customWidth="1"/>
  </cols>
  <sheetData>
    <row r="2" spans="2:13" ht="18" x14ac:dyDescent="0.2">
      <c r="B2" s="4" t="s">
        <v>1582</v>
      </c>
    </row>
    <row r="3" spans="2:13" ht="169" x14ac:dyDescent="0.2">
      <c r="B3" s="8" t="s">
        <v>1583</v>
      </c>
    </row>
    <row r="5" spans="2:13" x14ac:dyDescent="0.2">
      <c r="B5" s="9" t="s">
        <v>1584</v>
      </c>
    </row>
    <row r="6" spans="2:13" ht="56" x14ac:dyDescent="0.2">
      <c r="B6" s="10" t="s">
        <v>44</v>
      </c>
      <c r="C6" s="10" t="s">
        <v>102</v>
      </c>
      <c r="D6" s="10" t="s">
        <v>133</v>
      </c>
      <c r="E6" s="10" t="s">
        <v>84</v>
      </c>
      <c r="F6" s="10" t="s">
        <v>242</v>
      </c>
      <c r="G6" s="10" t="s">
        <v>363</v>
      </c>
      <c r="H6" s="10" t="s">
        <v>218</v>
      </c>
      <c r="I6" s="10" t="s">
        <v>1585</v>
      </c>
      <c r="J6" s="10" t="s">
        <v>1586</v>
      </c>
      <c r="K6" s="10" t="s">
        <v>1587</v>
      </c>
      <c r="L6" s="10" t="s">
        <v>1588</v>
      </c>
      <c r="M6" s="10" t="s">
        <v>1589</v>
      </c>
    </row>
    <row r="7" spans="2:13" x14ac:dyDescent="0.2">
      <c r="B7" s="11" t="s">
        <v>80</v>
      </c>
      <c r="C7" s="3">
        <f>COUNTIFS('Master Data'!$I$2:$I$175,"Sweden",'Master Data'!$M$2:$M$175,"Positive")</f>
        <v>8</v>
      </c>
      <c r="D7" s="3">
        <f>COUNTIFS('Master Data'!$I$2:$I$175,"Sweden",'Master Data'!$M$2:$M$175,"Restricted Positive")</f>
        <v>18</v>
      </c>
      <c r="E7" s="3">
        <f>COUNTIFS('Master Data'!$I$2:$I$175,"Sweden",'Master Data'!$M$2:$M$175,"Negative")</f>
        <v>14</v>
      </c>
      <c r="F7" s="3">
        <f>COUNTIFS('Master Data'!$I$2:$I$175,"Sweden",'Master Data'!$M$2:$M$175,"Withdrawn")</f>
        <v>3</v>
      </c>
      <c r="G7" s="3">
        <f>COUNTIFS('Master Data'!$I$2:$I$175,"Sweden",'Master Data'!$M$2:$M$175,"Ongoing/Pending")</f>
        <v>6</v>
      </c>
      <c r="H7" s="3">
        <f>COUNTIFS('Master Data'!$I$2:$I$175,"Sweden",'Master Data'!$M$2:$M$175,"Not Evaluated")</f>
        <v>9</v>
      </c>
      <c r="I7" s="3">
        <f>SUM(C7:H7)</f>
        <v>58</v>
      </c>
      <c r="J7" s="3">
        <f>I7-H7</f>
        <v>49</v>
      </c>
      <c r="K7" s="12">
        <f>IF(J7=0,"",((C7+D7)/J7))</f>
        <v>0.53061224489795922</v>
      </c>
      <c r="L7" s="12">
        <f>IF(J7=0,"",MAX(0,((((C7+D7)/J7)+1.959963985^2/(2*J7))/(1+1.959963985^2/J7))-((1.959963985*SQRT((((C7+D7)/J7)*(1-((C7+D7)/J7))/J7)+(1.959963985^2/(4*J7^2))))/(1+1.959963985^2/J7))))</f>
        <v>0.39380863980635683</v>
      </c>
      <c r="M7" s="12">
        <f>IF(J7=0,"",MIN(1,((((C7+D7)/J7)+1.959963985^2/(2*J7))/(1+1.959963985^2/J7))+((1.959963985*SQRT((((C7+D7)/J7)*(1-((C7+D7)/J7))/J7)+(1.959963985^2/(4*J7^2))))/(1+1.959963985^2/J7))))</f>
        <v>0.6629649630965736</v>
      </c>
    </row>
    <row r="8" spans="2:13" x14ac:dyDescent="0.2">
      <c r="B8" s="11" t="s">
        <v>99</v>
      </c>
      <c r="C8" s="3">
        <f>COUNTIFS('Master Data'!$I$2:$I$175,"Denmark",'Master Data'!$M$2:$M$175,"Positive")</f>
        <v>14</v>
      </c>
      <c r="D8" s="3">
        <f>COUNTIFS('Master Data'!$I$2:$I$175,"Denmark",'Master Data'!$M$2:$M$175,"Restricted Positive")</f>
        <v>11</v>
      </c>
      <c r="E8" s="3">
        <f>COUNTIFS('Master Data'!$I$2:$I$175,"Denmark",'Master Data'!$M$2:$M$175,"Negative")</f>
        <v>12</v>
      </c>
      <c r="F8" s="3">
        <f>COUNTIFS('Master Data'!$I$2:$I$175,"Denmark",'Master Data'!$M$2:$M$175,"Withdrawn")</f>
        <v>2</v>
      </c>
      <c r="G8" s="3">
        <f>COUNTIFS('Master Data'!$I$2:$I$175,"Denmark",'Master Data'!$M$2:$M$175,"Ongoing/Pending")</f>
        <v>1</v>
      </c>
      <c r="H8" s="3">
        <f>COUNTIFS('Master Data'!$I$2:$I$175,"Denmark",'Master Data'!$M$2:$M$175,"Not Evaluated")</f>
        <v>18</v>
      </c>
      <c r="I8" s="3">
        <f>SUM(C8:H8)</f>
        <v>58</v>
      </c>
      <c r="J8" s="3">
        <f>I8-H8</f>
        <v>40</v>
      </c>
      <c r="K8" s="12">
        <f>IF(J8=0,"",((C8+D8)/J8))</f>
        <v>0.625</v>
      </c>
      <c r="L8" s="12">
        <f>IF(J8=0,"",MAX(0,((((C8+D8)/J8)+1.959963985^2/(2*J8))/(1+1.959963985^2/J8))-((1.959963985*SQRT((((C8+D8)/J8)*(1-((C8+D8)/J8))/J8)+(1.959963985^2/(4*J8^2))))/(1+1.959963985^2/J8))))</f>
        <v>0.47032439133736992</v>
      </c>
      <c r="M8" s="12">
        <f>IF(J8=0,"",MIN(1,((((C8+D8)/J8)+1.959963985^2/(2*J8))/(1+1.959963985^2/J8))+((1.959963985*SQRT((((C8+D8)/J8)*(1-((C8+D8)/J8))/J8)+(1.959963985^2/(4*J8^2))))/(1+1.959963985^2/J8))))</f>
        <v>0.75777020835392805</v>
      </c>
    </row>
    <row r="9" spans="2:13" x14ac:dyDescent="0.2">
      <c r="B9" s="11" t="s">
        <v>113</v>
      </c>
      <c r="C9" s="3">
        <f>COUNTIFS('Master Data'!$I$2:$I$175,"Norway",'Master Data'!$M$2:$M$175,"Positive")</f>
        <v>13</v>
      </c>
      <c r="D9" s="3">
        <f>COUNTIFS('Master Data'!$I$2:$I$175,"Norway",'Master Data'!$M$2:$M$175,"Restricted Positive")</f>
        <v>7</v>
      </c>
      <c r="E9" s="3">
        <f>COUNTIFS('Master Data'!$I$2:$I$175,"Norway",'Master Data'!$M$2:$M$175,"Negative")</f>
        <v>12</v>
      </c>
      <c r="F9" s="3">
        <f>COUNTIFS('Master Data'!$I$2:$I$175,"Norway",'Master Data'!$M$2:$M$175,"Withdrawn")</f>
        <v>3</v>
      </c>
      <c r="G9" s="3">
        <f>COUNTIFS('Master Data'!$I$2:$I$175,"Norway",'Master Data'!$M$2:$M$175,"Ongoing/Pending")</f>
        <v>8</v>
      </c>
      <c r="H9" s="3">
        <f>COUNTIFS('Master Data'!$I$2:$I$175,"Norway",'Master Data'!$M$2:$M$175,"Not Evaluated")</f>
        <v>15</v>
      </c>
      <c r="I9" s="3">
        <f>SUM(C9:H9)</f>
        <v>58</v>
      </c>
      <c r="J9" s="3">
        <f>I9-H9</f>
        <v>43</v>
      </c>
      <c r="K9" s="12">
        <f>IF(J9=0,"",((C9+D9)/J9))</f>
        <v>0.46511627906976744</v>
      </c>
      <c r="L9" s="12">
        <f>IF(J9=0,"",MAX(0,((((C9+D9)/J9)+1.959963985^2/(2*J9))/(1+1.959963985^2/J9))-((1.959963985*SQRT((((C9+D9)/J9)*(1-((C9+D9)/J9))/J9)+(1.959963985^2/(4*J9^2))))/(1+1.959963985^2/J9))))</f>
        <v>0.32511057701166141</v>
      </c>
      <c r="M9" s="12">
        <f>IF(J9=0,"",MIN(1,((((C9+D9)/J9)+1.959963985^2/(2*J9))/(1+1.959963985^2/J9))+((1.959963985*SQRT((((C9+D9)/J9)*(1-((C9+D9)/J9))/J9)+(1.959963985^2/(4*J9^2))))/(1+1.959963985^2/J9))))</f>
        <v>0.61084359530888221</v>
      </c>
    </row>
    <row r="11" spans="2:13" ht="247" x14ac:dyDescent="0.2">
      <c r="B11" s="13" t="s">
        <v>1590</v>
      </c>
    </row>
    <row r="13" spans="2:13" x14ac:dyDescent="0.2">
      <c r="B13" s="9" t="s">
        <v>1591</v>
      </c>
    </row>
    <row r="14" spans="2:13" x14ac:dyDescent="0.2">
      <c r="B14" s="10" t="s">
        <v>44</v>
      </c>
      <c r="C14" s="10" t="s">
        <v>1592</v>
      </c>
      <c r="D14" s="10" t="s">
        <v>1593</v>
      </c>
      <c r="E14" s="10" t="s">
        <v>1594</v>
      </c>
    </row>
    <row r="15" spans="2:13" x14ac:dyDescent="0.2">
      <c r="B15" s="11" t="s">
        <v>80</v>
      </c>
      <c r="C15" s="12">
        <f>IF(COUNTIFS('Master Data'!$I$2:$I$175,"Sweden",'Master Data'!$P$2:$P$175,"&gt;="&amp;0,'Master Data'!$P$2:$P$175,"&lt;="&amp;2021,'Master Data'!$AD$2:$AD$175,1)=0,"n/a",COUNTIFS('Master Data'!$I$2:$I$175,"Sweden",'Master Data'!$P$2:$P$175,"&gt;="&amp;0,'Master Data'!$P$2:$P$175,"&lt;="&amp;2021,'Master Data'!$AC$2:$AC$175,1)/COUNTIFS('Master Data'!$I$2:$I$175,"Sweden",'Master Data'!$P$2:$P$175,"&gt;="&amp;0,'Master Data'!$P$2:$P$175,"&lt;="&amp;2021,'Master Data'!$AD$2:$AD$175,1))</f>
        <v>0.7857142857142857</v>
      </c>
      <c r="D15" s="12">
        <f>IF(COUNTIFS('Master Data'!$I$2:$I$175,"Sweden",'Master Data'!$P$2:$P$175,"&gt;="&amp;2022,'Master Data'!$P$2:$P$175,"&lt;="&amp;2023,'Master Data'!$AD$2:$AD$175,1)=0,"n/a",COUNTIFS('Master Data'!$I$2:$I$175,"Sweden",'Master Data'!$P$2:$P$175,"&gt;="&amp;2022,'Master Data'!$P$2:$P$175,"&lt;="&amp;2023,'Master Data'!$AC$2:$AC$175,1)/COUNTIFS('Master Data'!$I$2:$I$175,"Sweden",'Master Data'!$P$2:$P$175,"&gt;="&amp;2022,'Master Data'!$P$2:$P$175,"&lt;="&amp;2023,'Master Data'!$AD$2:$AD$175,1))</f>
        <v>0.44444444444444442</v>
      </c>
      <c r="E15" s="12">
        <f>IF(COUNTIFS('Master Data'!$I$2:$I$175,"Sweden",'Master Data'!$P$2:$P$175,"&gt;="&amp;2024,'Master Data'!$P$2:$P$175,"&lt;="&amp;2026,'Master Data'!$AD$2:$AD$175,1)=0,"n/a",COUNTIFS('Master Data'!$I$2:$I$175,"Sweden",'Master Data'!$P$2:$P$175,"&gt;="&amp;2024,'Master Data'!$P$2:$P$175,"&lt;="&amp;2026,'Master Data'!$AC$2:$AC$175,1)/COUNTIFS('Master Data'!$I$2:$I$175,"Sweden",'Master Data'!$P$2:$P$175,"&gt;="&amp;2024,'Master Data'!$P$2:$P$175,"&lt;="&amp;2026,'Master Data'!$AD$2:$AD$175,1))</f>
        <v>0.42857142857142855</v>
      </c>
    </row>
    <row r="16" spans="2:13" x14ac:dyDescent="0.2">
      <c r="B16" s="11" t="s">
        <v>99</v>
      </c>
      <c r="C16" s="12">
        <f>IF(COUNTIFS('Master Data'!$I$2:$I$175,"Denmark",'Master Data'!$P$2:$P$175,"&gt;="&amp;0,'Master Data'!$P$2:$P$175,"&lt;="&amp;2021,'Master Data'!$AD$2:$AD$175,1)=0,"n/a",COUNTIFS('Master Data'!$I$2:$I$175,"Denmark",'Master Data'!$P$2:$P$175,"&gt;="&amp;0,'Master Data'!$P$2:$P$175,"&lt;="&amp;2021,'Master Data'!$AC$2:$AC$175,1)/COUNTIFS('Master Data'!$I$2:$I$175,"Denmark",'Master Data'!$P$2:$P$175,"&gt;="&amp;0,'Master Data'!$P$2:$P$175,"&lt;="&amp;2021,'Master Data'!$AD$2:$AD$175,1))</f>
        <v>0.73333333333333328</v>
      </c>
      <c r="D16" s="12">
        <f>IF(COUNTIFS('Master Data'!$I$2:$I$175,"Denmark",'Master Data'!$P$2:$P$175,"&gt;="&amp;2022,'Master Data'!$P$2:$P$175,"&lt;="&amp;2023,'Master Data'!$AD$2:$AD$175,1)=0,"n/a",COUNTIFS('Master Data'!$I$2:$I$175,"Denmark",'Master Data'!$P$2:$P$175,"&gt;="&amp;2022,'Master Data'!$P$2:$P$175,"&lt;="&amp;2023,'Master Data'!$AC$2:$AC$175,1)/COUNTIFS('Master Data'!$I$2:$I$175,"Denmark",'Master Data'!$P$2:$P$175,"&gt;="&amp;2022,'Master Data'!$P$2:$P$175,"&lt;="&amp;2023,'Master Data'!$AD$2:$AD$175,1))</f>
        <v>0.5</v>
      </c>
      <c r="E16" s="12">
        <f>IF(COUNTIFS('Master Data'!$I$2:$I$175,"Denmark",'Master Data'!$P$2:$P$175,"&gt;="&amp;2024,'Master Data'!$P$2:$P$175,"&lt;="&amp;2026,'Master Data'!$AD$2:$AD$175,1)=0,"n/a",COUNTIFS('Master Data'!$I$2:$I$175,"Denmark",'Master Data'!$P$2:$P$175,"&gt;="&amp;2024,'Master Data'!$P$2:$P$175,"&lt;="&amp;2026,'Master Data'!$AC$2:$AC$175,1)/COUNTIFS('Master Data'!$I$2:$I$175,"Denmark",'Master Data'!$P$2:$P$175,"&gt;="&amp;2024,'Master Data'!$P$2:$P$175,"&lt;="&amp;2026,'Master Data'!$AD$2:$AD$175,1))</f>
        <v>0.6470588235294118</v>
      </c>
    </row>
    <row r="17" spans="2:6" x14ac:dyDescent="0.2">
      <c r="B17" s="11" t="s">
        <v>113</v>
      </c>
      <c r="C17" s="12">
        <f>IF(COUNTIFS('Master Data'!$I$2:$I$175,"Norway",'Master Data'!$P$2:$P$175,"&gt;="&amp;0,'Master Data'!$P$2:$P$175,"&lt;="&amp;2021,'Master Data'!$AD$2:$AD$175,1)=0,"n/a",COUNTIFS('Master Data'!$I$2:$I$175,"Norway",'Master Data'!$P$2:$P$175,"&gt;="&amp;0,'Master Data'!$P$2:$P$175,"&lt;="&amp;2021,'Master Data'!$AC$2:$AC$175,1)/COUNTIFS('Master Data'!$I$2:$I$175,"Norway",'Master Data'!$P$2:$P$175,"&gt;="&amp;0,'Master Data'!$P$2:$P$175,"&lt;="&amp;2021,'Master Data'!$AD$2:$AD$175,1))</f>
        <v>0.75</v>
      </c>
      <c r="D17" s="12">
        <f>IF(COUNTIFS('Master Data'!$I$2:$I$175,"Norway",'Master Data'!$P$2:$P$175,"&gt;="&amp;2022,'Master Data'!$P$2:$P$175,"&lt;="&amp;2023,'Master Data'!$AD$2:$AD$175,1)=0,"n/a",COUNTIFS('Master Data'!$I$2:$I$175,"Norway",'Master Data'!$P$2:$P$175,"&gt;="&amp;2022,'Master Data'!$P$2:$P$175,"&lt;="&amp;2023,'Master Data'!$AC$2:$AC$175,1)/COUNTIFS('Master Data'!$I$2:$I$175,"Norway",'Master Data'!$P$2:$P$175,"&gt;="&amp;2022,'Master Data'!$P$2:$P$175,"&lt;="&amp;2023,'Master Data'!$AD$2:$AD$175,1))</f>
        <v>0.75</v>
      </c>
      <c r="E17" s="12">
        <f>IF(COUNTIFS('Master Data'!$I$2:$I$175,"Norway",'Master Data'!$P$2:$P$175,"&gt;="&amp;2024,'Master Data'!$P$2:$P$175,"&lt;="&amp;2026,'Master Data'!$AD$2:$AD$175,1)=0,"n/a",COUNTIFS('Master Data'!$I$2:$I$175,"Norway",'Master Data'!$P$2:$P$175,"&gt;="&amp;2024,'Master Data'!$P$2:$P$175,"&lt;="&amp;2026,'Master Data'!$AC$2:$AC$175,1)/COUNTIFS('Master Data'!$I$2:$I$175,"Norway",'Master Data'!$P$2:$P$175,"&gt;="&amp;2024,'Master Data'!$P$2:$P$175,"&lt;="&amp;2026,'Master Data'!$AD$2:$AD$175,1))</f>
        <v>0.21052631578947367</v>
      </c>
    </row>
    <row r="19" spans="2:6" ht="130" x14ac:dyDescent="0.2">
      <c r="B19" s="13" t="s">
        <v>1595</v>
      </c>
    </row>
    <row r="21" spans="2:6" x14ac:dyDescent="0.2">
      <c r="B21" s="9" t="s">
        <v>1596</v>
      </c>
    </row>
    <row r="22" spans="2:6" ht="42" x14ac:dyDescent="0.2">
      <c r="B22" s="10" t="s">
        <v>44</v>
      </c>
      <c r="C22" s="10" t="s">
        <v>1597</v>
      </c>
      <c r="D22" s="10" t="s">
        <v>1598</v>
      </c>
      <c r="E22" s="10" t="s">
        <v>1599</v>
      </c>
      <c r="F22" s="10" t="s">
        <v>1600</v>
      </c>
    </row>
    <row r="23" spans="2:6" x14ac:dyDescent="0.2">
      <c r="B23" s="11" t="s">
        <v>80</v>
      </c>
      <c r="C23" s="3">
        <f>COUNTIFS('Master Data'!$I$2:$I$175,"Sweden",'Master Data'!$N$2:$N$175,"Broad")</f>
        <v>8</v>
      </c>
      <c r="D23" s="3">
        <f>COUNTIFS('Master Data'!$I$2:$I$175,"Sweden",'Master Data'!$N$2:$N$175,"Restricted")</f>
        <v>18</v>
      </c>
      <c r="E23" s="3">
        <f>COUNTIFS('Master Data'!$I$2:$I$175,"Sweden",'Master Data'!$N$2:$N$175,"Not Applicable")</f>
        <v>32</v>
      </c>
      <c r="F23" s="12">
        <f>IF((C23+D23)=0,"n/a",D23/(C23+D23))</f>
        <v>0.69230769230769229</v>
      </c>
    </row>
    <row r="24" spans="2:6" x14ac:dyDescent="0.2">
      <c r="B24" s="11" t="s">
        <v>99</v>
      </c>
      <c r="C24" s="3">
        <f>COUNTIFS('Master Data'!$I$2:$I$175,"Denmark",'Master Data'!$N$2:$N$175,"Broad")</f>
        <v>14</v>
      </c>
      <c r="D24" s="3">
        <f>COUNTIFS('Master Data'!$I$2:$I$175,"Denmark",'Master Data'!$N$2:$N$175,"Restricted")</f>
        <v>11</v>
      </c>
      <c r="E24" s="3">
        <f>COUNTIFS('Master Data'!$I$2:$I$175,"Denmark",'Master Data'!$N$2:$N$175,"Not Applicable")</f>
        <v>33</v>
      </c>
      <c r="F24" s="12">
        <f>IF((C24+D24)=0,"n/a",D24/(C24+D24))</f>
        <v>0.44</v>
      </c>
    </row>
    <row r="25" spans="2:6" x14ac:dyDescent="0.2">
      <c r="B25" s="11" t="s">
        <v>113</v>
      </c>
      <c r="C25" s="3">
        <f>COUNTIFS('Master Data'!$I$2:$I$175,"Norway",'Master Data'!$N$2:$N$175,"Broad")</f>
        <v>13</v>
      </c>
      <c r="D25" s="3">
        <f>COUNTIFS('Master Data'!$I$2:$I$175,"Norway",'Master Data'!$N$2:$N$175,"Restricted")</f>
        <v>7</v>
      </c>
      <c r="E25" s="3">
        <f>COUNTIFS('Master Data'!$I$2:$I$175,"Norway",'Master Data'!$N$2:$N$175,"Not Applicable")</f>
        <v>38</v>
      </c>
      <c r="F25" s="12">
        <f>IF((C25+D25)=0,"n/a",D25/(C25+D25))</f>
        <v>0.35</v>
      </c>
    </row>
  </sheetData>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I67"/>
  <sheetViews>
    <sheetView showGridLines="0" workbookViewId="0"/>
  </sheetViews>
  <sheetFormatPr baseColWidth="10" defaultColWidth="8.83203125" defaultRowHeight="15" x14ac:dyDescent="0.2"/>
  <cols>
    <col min="1" max="1" width="3" customWidth="1"/>
    <col min="2" max="2" width="36" customWidth="1"/>
    <col min="3" max="9" width="16" customWidth="1"/>
  </cols>
  <sheetData>
    <row r="2" spans="2:9" ht="18" x14ac:dyDescent="0.2">
      <c r="B2" s="4" t="s">
        <v>1601</v>
      </c>
    </row>
    <row r="3" spans="2:9" ht="57" x14ac:dyDescent="0.2">
      <c r="B3" s="8" t="s">
        <v>1602</v>
      </c>
    </row>
    <row r="5" spans="2:9" x14ac:dyDescent="0.2">
      <c r="B5" s="9" t="s">
        <v>1603</v>
      </c>
    </row>
    <row r="6" spans="2:9" ht="28" x14ac:dyDescent="0.2">
      <c r="B6" s="10" t="s">
        <v>1604</v>
      </c>
      <c r="C6" s="10" t="s">
        <v>80</v>
      </c>
      <c r="D6" s="10" t="s">
        <v>99</v>
      </c>
      <c r="E6" s="10" t="s">
        <v>113</v>
      </c>
      <c r="F6" s="10" t="s">
        <v>1605</v>
      </c>
      <c r="G6" s="10" t="s">
        <v>1606</v>
      </c>
      <c r="H6" s="10" t="s">
        <v>1607</v>
      </c>
      <c r="I6" s="10" t="s">
        <v>1608</v>
      </c>
    </row>
    <row r="7" spans="2:9" x14ac:dyDescent="0.2">
      <c r="B7" s="11" t="s">
        <v>81</v>
      </c>
      <c r="C7" s="3">
        <f>COUNTIFS('Master Data'!$J$2:$J$175,"Full / standard HTA",'Master Data'!$I$2:$I$175,"Sweden")</f>
        <v>18</v>
      </c>
      <c r="D7" s="3">
        <f>COUNTIFS('Master Data'!$J$2:$J$175,"Full / standard HTA",'Master Data'!$I$2:$I$175,"Denmark")</f>
        <v>20</v>
      </c>
      <c r="E7" s="3">
        <f>COUNTIFS('Master Data'!$J$2:$J$175,"Full / standard HTA",'Master Data'!$I$2:$I$175,"Norway")</f>
        <v>5</v>
      </c>
      <c r="F7" s="3">
        <f t="shared" ref="F7:F13" si="0">SUM(C7:E7)</f>
        <v>43</v>
      </c>
      <c r="G7" s="12">
        <f>IF(C14=0,"n/a",C7/C14)</f>
        <v>0.31034482758620691</v>
      </c>
      <c r="H7" s="12">
        <f>IF(D14=0,"n/a",D7/D14)</f>
        <v>0.34482758620689657</v>
      </c>
      <c r="I7" s="12">
        <f>IF(E14=0,"n/a",E7/E14)</f>
        <v>8.6206896551724144E-2</v>
      </c>
    </row>
    <row r="8" spans="2:9" x14ac:dyDescent="0.2">
      <c r="B8" s="11" t="s">
        <v>114</v>
      </c>
      <c r="C8" s="3">
        <f>COUNTIFS('Master Data'!$J$2:$J$175,"Rapid / simplified HTA",'Master Data'!$I$2:$I$175,"Sweden")</f>
        <v>0</v>
      </c>
      <c r="D8" s="3">
        <f>COUNTIFS('Master Data'!$J$2:$J$175,"Rapid / simplified HTA",'Master Data'!$I$2:$I$175,"Denmark")</f>
        <v>0</v>
      </c>
      <c r="E8" s="3">
        <f>COUNTIFS('Master Data'!$J$2:$J$175,"Rapid / simplified HTA",'Master Data'!$I$2:$I$175,"Norway")</f>
        <v>8</v>
      </c>
      <c r="F8" s="3">
        <f t="shared" si="0"/>
        <v>8</v>
      </c>
      <c r="G8" s="12">
        <f>IF(C14=0,"n/a",C8/C14)</f>
        <v>0</v>
      </c>
      <c r="H8" s="12">
        <f>IF(D14=0,"n/a",D8/D14)</f>
        <v>0</v>
      </c>
      <c r="I8" s="12">
        <f>IF(E14=0,"n/a",E8/E14)</f>
        <v>0.13793103448275862</v>
      </c>
    </row>
    <row r="9" spans="2:9" x14ac:dyDescent="0.2">
      <c r="B9" s="11" t="s">
        <v>205</v>
      </c>
      <c r="C9" s="3">
        <f>COUNTIFS('Master Data'!$J$2:$J$175,"Joint Nordic HTA (FINOSE/JNHB)",'Master Data'!$I$2:$I$175,"Sweden")</f>
        <v>2</v>
      </c>
      <c r="D9" s="3">
        <f>COUNTIFS('Master Data'!$J$2:$J$175,"Joint Nordic HTA (FINOSE/JNHB)",'Master Data'!$I$2:$I$175,"Denmark")</f>
        <v>2</v>
      </c>
      <c r="E9" s="3">
        <f>COUNTIFS('Master Data'!$J$2:$J$175,"Joint Nordic HTA (FINOSE/JNHB)",'Master Data'!$I$2:$I$175,"Norway")</f>
        <v>3</v>
      </c>
      <c r="F9" s="3">
        <f t="shared" si="0"/>
        <v>7</v>
      </c>
      <c r="G9" s="12">
        <f>IF(C14=0,"n/a",C9/C14)</f>
        <v>3.4482758620689655E-2</v>
      </c>
      <c r="H9" s="12">
        <f>IF(D14=0,"n/a",D9/D14)</f>
        <v>3.4482758620689655E-2</v>
      </c>
      <c r="I9" s="12">
        <f>IF(E14=0,"n/a",E9/E14)</f>
        <v>5.1724137931034482E-2</v>
      </c>
    </row>
    <row r="10" spans="2:9" x14ac:dyDescent="0.2">
      <c r="B10" s="11" t="s">
        <v>130</v>
      </c>
      <c r="C10" s="3">
        <f>COUNTIFS('Master Data'!$J$2:$J$175,"Managed introduction / price negotiation",'Master Data'!$I$2:$I$175,"Sweden")</f>
        <v>12</v>
      </c>
      <c r="D10" s="3">
        <f>COUNTIFS('Master Data'!$J$2:$J$175,"Managed introduction / price negotiation",'Master Data'!$I$2:$I$175,"Denmark")</f>
        <v>4</v>
      </c>
      <c r="E10" s="3">
        <f>COUNTIFS('Master Data'!$J$2:$J$175,"Managed introduction / price negotiation",'Master Data'!$I$2:$I$175,"Norway")</f>
        <v>27</v>
      </c>
      <c r="F10" s="3">
        <f t="shared" si="0"/>
        <v>43</v>
      </c>
      <c r="G10" s="12">
        <f>IF(C14=0,"n/a",C10/C14)</f>
        <v>0.20689655172413793</v>
      </c>
      <c r="H10" s="12">
        <f>IF(D14=0,"n/a",D10/D14)</f>
        <v>6.8965517241379309E-2</v>
      </c>
      <c r="I10" s="12">
        <f>IF(E14=0,"n/a",E10/E14)</f>
        <v>0.46551724137931033</v>
      </c>
    </row>
    <row r="11" spans="2:9" x14ac:dyDescent="0.2">
      <c r="B11" s="11" t="s">
        <v>239</v>
      </c>
      <c r="C11" s="3">
        <f>COUNTIFS('Master Data'!$J$2:$J$175,"Early / horizon scanning only",'Master Data'!$I$2:$I$175,"Sweden")</f>
        <v>2</v>
      </c>
      <c r="D11" s="3">
        <f>COUNTIFS('Master Data'!$J$2:$J$175,"Early / horizon scanning only",'Master Data'!$I$2:$I$175,"Denmark")</f>
        <v>0</v>
      </c>
      <c r="E11" s="3">
        <f>COUNTIFS('Master Data'!$J$2:$J$175,"Early / horizon scanning only",'Master Data'!$I$2:$I$175,"Norway")</f>
        <v>2</v>
      </c>
      <c r="F11" s="3">
        <f t="shared" si="0"/>
        <v>4</v>
      </c>
      <c r="G11" s="12">
        <f>IF(C14=0,"n/a",C11/C14)</f>
        <v>3.4482758620689655E-2</v>
      </c>
      <c r="H11" s="12">
        <f>IF(D14=0,"n/a",D11/D14)</f>
        <v>0</v>
      </c>
      <c r="I11" s="12">
        <f>IF(E14=0,"n/a",E11/E14)</f>
        <v>3.4482758620689655E-2</v>
      </c>
    </row>
    <row r="12" spans="2:9" x14ac:dyDescent="0.2">
      <c r="B12" s="11" t="s">
        <v>252</v>
      </c>
      <c r="C12" s="3">
        <f>COUNTIFS('Master Data'!$J$2:$J$175,"No formal assessment / not assessed",'Master Data'!$I$2:$I$175,"Sweden")</f>
        <v>2</v>
      </c>
      <c r="D12" s="3">
        <f>COUNTIFS('Master Data'!$J$2:$J$175,"No formal assessment / not assessed",'Master Data'!$I$2:$I$175,"Denmark")</f>
        <v>6</v>
      </c>
      <c r="E12" s="3">
        <f>COUNTIFS('Master Data'!$J$2:$J$175,"No formal assessment / not assessed",'Master Data'!$I$2:$I$175,"Norway")</f>
        <v>1</v>
      </c>
      <c r="F12" s="3">
        <f t="shared" si="0"/>
        <v>9</v>
      </c>
      <c r="G12" s="12">
        <f>IF(C14=0,"n/a",C12/C14)</f>
        <v>3.4482758620689655E-2</v>
      </c>
      <c r="H12" s="12">
        <f>IF(D14=0,"n/a",D12/D14)</f>
        <v>0.10344827586206896</v>
      </c>
      <c r="I12" s="12">
        <f>IF(E14=0,"n/a",E12/E14)</f>
        <v>1.7241379310344827E-2</v>
      </c>
    </row>
    <row r="13" spans="2:9" x14ac:dyDescent="0.2">
      <c r="B13" s="11" t="s">
        <v>215</v>
      </c>
      <c r="C13" s="3">
        <f>COUNTIFS('Master Data'!$J$2:$J$175,"Other / unclassified process",'Master Data'!$I$2:$I$175,"Sweden")</f>
        <v>22</v>
      </c>
      <c r="D13" s="3">
        <f>COUNTIFS('Master Data'!$J$2:$J$175,"Other / unclassified process",'Master Data'!$I$2:$I$175,"Denmark")</f>
        <v>26</v>
      </c>
      <c r="E13" s="3">
        <f>COUNTIFS('Master Data'!$J$2:$J$175,"Other / unclassified process",'Master Data'!$I$2:$I$175,"Norway")</f>
        <v>12</v>
      </c>
      <c r="F13" s="3">
        <f t="shared" si="0"/>
        <v>60</v>
      </c>
      <c r="G13" s="12">
        <f>IF(C14=0,"n/a",C13/C14)</f>
        <v>0.37931034482758619</v>
      </c>
      <c r="H13" s="12">
        <f>IF(D14=0,"n/a",D13/D14)</f>
        <v>0.44827586206896552</v>
      </c>
      <c r="I13" s="12">
        <f>IF(E14=0,"n/a",E13/E14)</f>
        <v>0.20689655172413793</v>
      </c>
    </row>
    <row r="14" spans="2:9" x14ac:dyDescent="0.2">
      <c r="B14" s="11" t="s">
        <v>1605</v>
      </c>
      <c r="C14" s="11">
        <f>SUM(C7:C13)</f>
        <v>58</v>
      </c>
      <c r="D14" s="11">
        <f>SUM(D7:D13)</f>
        <v>58</v>
      </c>
      <c r="E14" s="11">
        <f>SUM(E7:E13)</f>
        <v>58</v>
      </c>
      <c r="F14" s="11">
        <f>SUM(F7:F13)</f>
        <v>174</v>
      </c>
      <c r="G14" s="14">
        <f>100%</f>
        <v>1</v>
      </c>
      <c r="H14" s="14">
        <f>100%</f>
        <v>1</v>
      </c>
      <c r="I14" s="14">
        <f>100%</f>
        <v>1</v>
      </c>
    </row>
    <row r="33" spans="2:6" x14ac:dyDescent="0.2">
      <c r="B33" s="9" t="s">
        <v>1609</v>
      </c>
    </row>
    <row r="34" spans="2:6" ht="42" x14ac:dyDescent="0.2">
      <c r="B34" s="10" t="s">
        <v>1604</v>
      </c>
      <c r="C34" s="10" t="s">
        <v>1610</v>
      </c>
      <c r="D34" s="10" t="s">
        <v>1611</v>
      </c>
      <c r="E34" s="10" t="s">
        <v>1599</v>
      </c>
      <c r="F34" s="10" t="s">
        <v>1612</v>
      </c>
    </row>
    <row r="35" spans="2:6" x14ac:dyDescent="0.2">
      <c r="B35" s="11" t="s">
        <v>81</v>
      </c>
      <c r="C35" s="3">
        <f>COUNTIFS('Master Data'!$J$2:$J$175,"Full / standard HTA",'Master Data'!$N$2:$N$175,"Broad")</f>
        <v>5</v>
      </c>
      <c r="D35" s="3">
        <f>COUNTIFS('Master Data'!$J$2:$J$175,"Full / standard HTA",'Master Data'!$N$2:$N$175,"Restricted")</f>
        <v>14</v>
      </c>
      <c r="E35" s="3">
        <f>COUNTIFS('Master Data'!$J$2:$J$175,"Full / standard HTA",'Master Data'!$N$2:$N$175,"Not Applicable")</f>
        <v>24</v>
      </c>
      <c r="F35" s="12">
        <f t="shared" ref="F35:F41" si="1">IF((C35+D35)=0,"n/a",D35/(C35+D35))</f>
        <v>0.73684210526315785</v>
      </c>
    </row>
    <row r="36" spans="2:6" x14ac:dyDescent="0.2">
      <c r="B36" s="11" t="s">
        <v>114</v>
      </c>
      <c r="C36" s="3">
        <f>COUNTIFS('Master Data'!$J$2:$J$175,"Rapid / simplified HTA",'Master Data'!$N$2:$N$175,"Broad")</f>
        <v>4</v>
      </c>
      <c r="D36" s="3">
        <f>COUNTIFS('Master Data'!$J$2:$J$175,"Rapid / simplified HTA",'Master Data'!$N$2:$N$175,"Restricted")</f>
        <v>2</v>
      </c>
      <c r="E36" s="3">
        <f>COUNTIFS('Master Data'!$J$2:$J$175,"Rapid / simplified HTA",'Master Data'!$N$2:$N$175,"Not Applicable")</f>
        <v>2</v>
      </c>
      <c r="F36" s="12">
        <f t="shared" si="1"/>
        <v>0.33333333333333331</v>
      </c>
    </row>
    <row r="37" spans="2:6" x14ac:dyDescent="0.2">
      <c r="B37" s="11" t="s">
        <v>205</v>
      </c>
      <c r="C37" s="3">
        <f>COUNTIFS('Master Data'!$J$2:$J$175,"Joint Nordic HTA (FINOSE/JNHB)",'Master Data'!$N$2:$N$175,"Broad")</f>
        <v>2</v>
      </c>
      <c r="D37" s="3">
        <f>COUNTIFS('Master Data'!$J$2:$J$175,"Joint Nordic HTA (FINOSE/JNHB)",'Master Data'!$N$2:$N$175,"Restricted")</f>
        <v>1</v>
      </c>
      <c r="E37" s="3">
        <f>COUNTIFS('Master Data'!$J$2:$J$175,"Joint Nordic HTA (FINOSE/JNHB)",'Master Data'!$N$2:$N$175,"Not Applicable")</f>
        <v>4</v>
      </c>
      <c r="F37" s="12">
        <f t="shared" si="1"/>
        <v>0.33333333333333331</v>
      </c>
    </row>
    <row r="38" spans="2:6" x14ac:dyDescent="0.2">
      <c r="B38" s="11" t="s">
        <v>130</v>
      </c>
      <c r="C38" s="3">
        <f>COUNTIFS('Master Data'!$J$2:$J$175,"Managed introduction / price negotiation",'Master Data'!$N$2:$N$175,"Broad")</f>
        <v>11</v>
      </c>
      <c r="D38" s="3">
        <f>COUNTIFS('Master Data'!$J$2:$J$175,"Managed introduction / price negotiation",'Master Data'!$N$2:$N$175,"Restricted")</f>
        <v>9</v>
      </c>
      <c r="E38" s="3">
        <f>COUNTIFS('Master Data'!$J$2:$J$175,"Managed introduction / price negotiation",'Master Data'!$N$2:$N$175,"Not Applicable")</f>
        <v>23</v>
      </c>
      <c r="F38" s="12">
        <f t="shared" si="1"/>
        <v>0.45</v>
      </c>
    </row>
    <row r="39" spans="2:6" x14ac:dyDescent="0.2">
      <c r="B39" s="11" t="s">
        <v>239</v>
      </c>
      <c r="C39" s="3">
        <f>COUNTIFS('Master Data'!$J$2:$J$175,"Early / horizon scanning only",'Master Data'!$N$2:$N$175,"Broad")</f>
        <v>0</v>
      </c>
      <c r="D39" s="3">
        <f>COUNTIFS('Master Data'!$J$2:$J$175,"Early / horizon scanning only",'Master Data'!$N$2:$N$175,"Restricted")</f>
        <v>0</v>
      </c>
      <c r="E39" s="3">
        <f>COUNTIFS('Master Data'!$J$2:$J$175,"Early / horizon scanning only",'Master Data'!$N$2:$N$175,"Not Applicable")</f>
        <v>4</v>
      </c>
      <c r="F39" s="12" t="str">
        <f t="shared" si="1"/>
        <v>n/a</v>
      </c>
    </row>
    <row r="40" spans="2:6" x14ac:dyDescent="0.2">
      <c r="B40" s="11" t="s">
        <v>252</v>
      </c>
      <c r="C40" s="3">
        <f>COUNTIFS('Master Data'!$J$2:$J$175,"No formal assessment / not assessed",'Master Data'!$N$2:$N$175,"Broad")</f>
        <v>0</v>
      </c>
      <c r="D40" s="3">
        <f>COUNTIFS('Master Data'!$J$2:$J$175,"No formal assessment / not assessed",'Master Data'!$N$2:$N$175,"Restricted")</f>
        <v>0</v>
      </c>
      <c r="E40" s="3">
        <f>COUNTIFS('Master Data'!$J$2:$J$175,"No formal assessment / not assessed",'Master Data'!$N$2:$N$175,"Not Applicable")</f>
        <v>9</v>
      </c>
      <c r="F40" s="12" t="str">
        <f t="shared" si="1"/>
        <v>n/a</v>
      </c>
    </row>
    <row r="41" spans="2:6" x14ac:dyDescent="0.2">
      <c r="B41" s="11" t="s">
        <v>215</v>
      </c>
      <c r="C41" s="3">
        <f>COUNTIFS('Master Data'!$J$2:$J$175,"Other / unclassified process",'Master Data'!$N$2:$N$175,"Broad")</f>
        <v>13</v>
      </c>
      <c r="D41" s="3">
        <f>COUNTIFS('Master Data'!$J$2:$J$175,"Other / unclassified process",'Master Data'!$N$2:$N$175,"Restricted")</f>
        <v>10</v>
      </c>
      <c r="E41" s="3">
        <f>COUNTIFS('Master Data'!$J$2:$J$175,"Other / unclassified process",'Master Data'!$N$2:$N$175,"Not Applicable")</f>
        <v>37</v>
      </c>
      <c r="F41" s="12">
        <f t="shared" si="1"/>
        <v>0.43478260869565216</v>
      </c>
    </row>
    <row r="61" spans="2:6" x14ac:dyDescent="0.2">
      <c r="B61" s="9" t="s">
        <v>1613</v>
      </c>
    </row>
    <row r="62" spans="2:6" ht="42" x14ac:dyDescent="0.2">
      <c r="B62" s="10" t="s">
        <v>1614</v>
      </c>
      <c r="C62" s="10" t="s">
        <v>1610</v>
      </c>
      <c r="D62" s="10" t="s">
        <v>1611</v>
      </c>
      <c r="E62" s="10" t="s">
        <v>1599</v>
      </c>
      <c r="F62" s="10" t="s">
        <v>1612</v>
      </c>
    </row>
    <row r="63" spans="2:6" x14ac:dyDescent="0.2">
      <c r="B63" s="11" t="s">
        <v>79</v>
      </c>
      <c r="C63" s="3">
        <f>COUNTIFS('Master Data'!$H$2:$H$175,"Ultra-severe (immediately life-threatening)",'Master Data'!$N$2:$N$175,"Broad")</f>
        <v>14</v>
      </c>
      <c r="D63" s="3">
        <f>COUNTIFS('Master Data'!$H$2:$H$175,"Ultra-severe (immediately life-threatening)",'Master Data'!$N$2:$N$175,"Restricted")</f>
        <v>11</v>
      </c>
      <c r="E63" s="3">
        <f>COUNTIFS('Master Data'!$H$2:$H$175,"Ultra-severe (immediately life-threatening)",'Master Data'!$N$2:$N$175,"Not Applicable")</f>
        <v>32</v>
      </c>
      <c r="F63" s="12">
        <f>IF((C63+D63)=0,"n/a",D63/(C63+D63))</f>
        <v>0.44</v>
      </c>
    </row>
    <row r="64" spans="2:6" x14ac:dyDescent="0.2">
      <c r="B64" s="11" t="s">
        <v>457</v>
      </c>
      <c r="C64" s="3">
        <f>COUNTIFS('Master Data'!$H$2:$H$175,"Severe (progressive, life-shortening)",'Master Data'!$N$2:$N$175,"Broad")</f>
        <v>13</v>
      </c>
      <c r="D64" s="3">
        <f>COUNTIFS('Master Data'!$H$2:$H$175,"Severe (progressive, life-shortening)",'Master Data'!$N$2:$N$175,"Restricted")</f>
        <v>15</v>
      </c>
      <c r="E64" s="3">
        <f>COUNTIFS('Master Data'!$H$2:$H$175,"Severe (progressive, life-shortening)",'Master Data'!$N$2:$N$175,"Not Applicable")</f>
        <v>59</v>
      </c>
      <c r="F64" s="12">
        <f>IF((C64+D64)=0,"n/a",D64/(C64+D64))</f>
        <v>0.5357142857142857</v>
      </c>
    </row>
    <row r="65" spans="2:6" x14ac:dyDescent="0.2">
      <c r="B65" s="11" t="s">
        <v>260</v>
      </c>
      <c r="C65" s="3">
        <f>COUNTIFS('Master Data'!$H$2:$H$175,"Serious (chronic, manageable)",'Master Data'!$N$2:$N$175,"Broad")</f>
        <v>8</v>
      </c>
      <c r="D65" s="3">
        <f>COUNTIFS('Master Data'!$H$2:$H$175,"Serious (chronic, manageable)",'Master Data'!$N$2:$N$175,"Restricted")</f>
        <v>10</v>
      </c>
      <c r="E65" s="3">
        <f>COUNTIFS('Master Data'!$H$2:$H$175,"Serious (chronic, manageable)",'Master Data'!$N$2:$N$175,"Not Applicable")</f>
        <v>12</v>
      </c>
      <c r="F65" s="12">
        <f>IF((C65+D65)=0,"n/a",D65/(C65+D65))</f>
        <v>0.55555555555555558</v>
      </c>
    </row>
    <row r="67" spans="2:6" ht="195" x14ac:dyDescent="0.2">
      <c r="B67" s="13" t="s">
        <v>1615</v>
      </c>
    </row>
  </sheetData>
  <pageMargins left="0.75" right="0.75" top="1" bottom="1" header="0.5" footer="0.5"/>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J35"/>
  <sheetViews>
    <sheetView showGridLines="0" workbookViewId="0"/>
  </sheetViews>
  <sheetFormatPr baseColWidth="10" defaultColWidth="8.83203125" defaultRowHeight="15" x14ac:dyDescent="0.2"/>
  <cols>
    <col min="1" max="1" width="3" customWidth="1"/>
    <col min="2" max="2" width="14" customWidth="1"/>
    <col min="3" max="3" width="26" customWidth="1"/>
    <col min="4" max="9" width="15" customWidth="1"/>
    <col min="10" max="10" width="50" customWidth="1"/>
  </cols>
  <sheetData>
    <row r="2" spans="2:9" ht="18" x14ac:dyDescent="0.2">
      <c r="B2" s="4" t="s">
        <v>1616</v>
      </c>
    </row>
    <row r="3" spans="2:9" ht="155" x14ac:dyDescent="0.2">
      <c r="B3" s="8" t="s">
        <v>1617</v>
      </c>
    </row>
    <row r="5" spans="2:9" x14ac:dyDescent="0.2">
      <c r="B5" s="9" t="s">
        <v>1618</v>
      </c>
    </row>
    <row r="6" spans="2:9" x14ac:dyDescent="0.2">
      <c r="B6" s="10" t="s">
        <v>1614</v>
      </c>
      <c r="C6" s="10" t="s">
        <v>1619</v>
      </c>
    </row>
    <row r="7" spans="2:9" x14ac:dyDescent="0.2">
      <c r="B7" s="3" t="s">
        <v>79</v>
      </c>
      <c r="C7" s="15">
        <v>2000000</v>
      </c>
    </row>
    <row r="8" spans="2:9" x14ac:dyDescent="0.2">
      <c r="B8" s="3" t="s">
        <v>457</v>
      </c>
      <c r="C8" s="15">
        <v>1000000</v>
      </c>
    </row>
    <row r="9" spans="2:9" x14ac:dyDescent="0.2">
      <c r="B9" s="3" t="s">
        <v>260</v>
      </c>
      <c r="C9" s="15">
        <v>500000</v>
      </c>
    </row>
    <row r="11" spans="2:9" ht="368" x14ac:dyDescent="0.2">
      <c r="B11" s="13" t="s">
        <v>1620</v>
      </c>
    </row>
    <row r="13" spans="2:9" x14ac:dyDescent="0.2">
      <c r="B13" s="9" t="s">
        <v>1621</v>
      </c>
    </row>
    <row r="14" spans="2:9" ht="28" x14ac:dyDescent="0.2">
      <c r="B14" s="10" t="s">
        <v>1614</v>
      </c>
      <c r="C14" s="10" t="s">
        <v>102</v>
      </c>
      <c r="D14" s="10" t="s">
        <v>133</v>
      </c>
      <c r="E14" s="10" t="s">
        <v>84</v>
      </c>
      <c r="F14" s="10" t="s">
        <v>242</v>
      </c>
      <c r="G14" s="10" t="s">
        <v>363</v>
      </c>
      <c r="H14" s="10" t="s">
        <v>218</v>
      </c>
      <c r="I14" s="10" t="s">
        <v>1605</v>
      </c>
    </row>
    <row r="15" spans="2:9" x14ac:dyDescent="0.2">
      <c r="B15" s="11" t="s">
        <v>79</v>
      </c>
      <c r="C15" s="3">
        <f>COUNTIFS('Master Data'!$I$2:$I$175,"Sweden",'Master Data'!$H$2:$H$175,"Ultra-severe (immediately life-threatening)",'Master Data'!$M$2:$M$175,"Positive")</f>
        <v>6</v>
      </c>
      <c r="D15" s="3">
        <f>COUNTIFS('Master Data'!$I$2:$I$175,"Sweden",'Master Data'!$H$2:$H$175,"Ultra-severe (immediately life-threatening)",'Master Data'!$M$2:$M$175,"Restricted Positive")</f>
        <v>6</v>
      </c>
      <c r="E15" s="3">
        <f>COUNTIFS('Master Data'!$I$2:$I$175,"Sweden",'Master Data'!$H$2:$H$175,"Ultra-severe (immediately life-threatening)",'Master Data'!$M$2:$M$175,"Negative")</f>
        <v>4</v>
      </c>
      <c r="F15" s="3">
        <f>COUNTIFS('Master Data'!$I$2:$I$175,"Sweden",'Master Data'!$H$2:$H$175,"Ultra-severe (immediately life-threatening)",'Master Data'!$M$2:$M$175,"Withdrawn")</f>
        <v>1</v>
      </c>
      <c r="G15" s="3">
        <f>COUNTIFS('Master Data'!$I$2:$I$175,"Sweden",'Master Data'!$H$2:$H$175,"Ultra-severe (immediately life-threatening)",'Master Data'!$M$2:$M$175,"Ongoing/Pending")</f>
        <v>0</v>
      </c>
      <c r="H15" s="3">
        <f>COUNTIFS('Master Data'!$I$2:$I$175,"Sweden",'Master Data'!$H$2:$H$175,"Ultra-severe (immediately life-threatening)",'Master Data'!$M$2:$M$175,"Not Evaluated")</f>
        <v>2</v>
      </c>
      <c r="I15" s="3">
        <f>SUM(C15:H15)</f>
        <v>19</v>
      </c>
    </row>
    <row r="16" spans="2:9" x14ac:dyDescent="0.2">
      <c r="B16" s="11" t="s">
        <v>457</v>
      </c>
      <c r="C16" s="3">
        <f>COUNTIFS('Master Data'!$I$2:$I$175,"Sweden",'Master Data'!$H$2:$H$175,"Severe (progressive, life-shortening)",'Master Data'!$M$2:$M$175,"Positive")</f>
        <v>1</v>
      </c>
      <c r="D16" s="3">
        <f>COUNTIFS('Master Data'!$I$2:$I$175,"Sweden",'Master Data'!$H$2:$H$175,"Severe (progressive, life-shortening)",'Master Data'!$M$2:$M$175,"Restricted Positive")</f>
        <v>8</v>
      </c>
      <c r="E16" s="3">
        <f>COUNTIFS('Master Data'!$I$2:$I$175,"Sweden",'Master Data'!$H$2:$H$175,"Severe (progressive, life-shortening)",'Master Data'!$M$2:$M$175,"Negative")</f>
        <v>8</v>
      </c>
      <c r="F16" s="3">
        <f>COUNTIFS('Master Data'!$I$2:$I$175,"Sweden",'Master Data'!$H$2:$H$175,"Severe (progressive, life-shortening)",'Master Data'!$M$2:$M$175,"Withdrawn")</f>
        <v>1</v>
      </c>
      <c r="G16" s="3">
        <f>COUNTIFS('Master Data'!$I$2:$I$175,"Sweden",'Master Data'!$H$2:$H$175,"Severe (progressive, life-shortening)",'Master Data'!$M$2:$M$175,"Ongoing/Pending")</f>
        <v>4</v>
      </c>
      <c r="H16" s="3">
        <f>COUNTIFS('Master Data'!$I$2:$I$175,"Sweden",'Master Data'!$H$2:$H$175,"Severe (progressive, life-shortening)",'Master Data'!$M$2:$M$175,"Not Evaluated")</f>
        <v>7</v>
      </c>
      <c r="I16" s="3">
        <f>SUM(C16:H16)</f>
        <v>29</v>
      </c>
    </row>
    <row r="17" spans="2:10" x14ac:dyDescent="0.2">
      <c r="B17" s="11" t="s">
        <v>260</v>
      </c>
      <c r="C17" s="3">
        <f>COUNTIFS('Master Data'!$I$2:$I$175,"Sweden",'Master Data'!$H$2:$H$175,"Serious (chronic, manageable)",'Master Data'!$M$2:$M$175,"Positive")</f>
        <v>1</v>
      </c>
      <c r="D17" s="3">
        <f>COUNTIFS('Master Data'!$I$2:$I$175,"Sweden",'Master Data'!$H$2:$H$175,"Serious (chronic, manageable)",'Master Data'!$M$2:$M$175,"Restricted Positive")</f>
        <v>4</v>
      </c>
      <c r="E17" s="3">
        <f>COUNTIFS('Master Data'!$I$2:$I$175,"Sweden",'Master Data'!$H$2:$H$175,"Serious (chronic, manageable)",'Master Data'!$M$2:$M$175,"Negative")</f>
        <v>2</v>
      </c>
      <c r="F17" s="3">
        <f>COUNTIFS('Master Data'!$I$2:$I$175,"Sweden",'Master Data'!$H$2:$H$175,"Serious (chronic, manageable)",'Master Data'!$M$2:$M$175,"Withdrawn")</f>
        <v>1</v>
      </c>
      <c r="G17" s="3">
        <f>COUNTIFS('Master Data'!$I$2:$I$175,"Sweden",'Master Data'!$H$2:$H$175,"Serious (chronic, manageable)",'Master Data'!$M$2:$M$175,"Ongoing/Pending")</f>
        <v>2</v>
      </c>
      <c r="H17" s="3">
        <f>COUNTIFS('Master Data'!$I$2:$I$175,"Sweden",'Master Data'!$H$2:$H$175,"Serious (chronic, manageable)",'Master Data'!$M$2:$M$175,"Not Evaluated")</f>
        <v>0</v>
      </c>
      <c r="I17" s="3">
        <f>SUM(C17:H17)</f>
        <v>10</v>
      </c>
    </row>
    <row r="20" spans="2:10" x14ac:dyDescent="0.2">
      <c r="B20" s="9" t="s">
        <v>1622</v>
      </c>
    </row>
    <row r="21" spans="2:10" ht="42" x14ac:dyDescent="0.2">
      <c r="B21" s="10" t="s">
        <v>36</v>
      </c>
      <c r="C21" s="10" t="s">
        <v>1614</v>
      </c>
      <c r="D21" s="10" t="s">
        <v>1623</v>
      </c>
      <c r="E21" s="10" t="s">
        <v>1624</v>
      </c>
      <c r="F21" s="10" t="s">
        <v>1625</v>
      </c>
      <c r="G21" s="10" t="s">
        <v>1626</v>
      </c>
      <c r="H21" s="10" t="s">
        <v>1627</v>
      </c>
      <c r="I21" s="10" t="s">
        <v>1628</v>
      </c>
      <c r="J21" s="10" t="s">
        <v>1629</v>
      </c>
    </row>
    <row r="22" spans="2:10" x14ac:dyDescent="0.2">
      <c r="B22" s="3" t="str">
        <f>'Master Data'!A2</f>
        <v>Zolgensma</v>
      </c>
      <c r="C22" s="3" t="str">
        <f>'Master Data'!H2</f>
        <v>Ultra-severe (immediately life-threatening)</v>
      </c>
      <c r="D22" s="3" t="str">
        <f>'Master Data'!M2</f>
        <v>Negative</v>
      </c>
      <c r="E22" s="16">
        <f>'Master Data'!AE2</f>
        <v>850000</v>
      </c>
      <c r="F22" s="16">
        <f>'Master Data'!AF2</f>
        <v>5700000</v>
      </c>
      <c r="G22" s="16">
        <f t="shared" ref="G22:G29" si="0">VLOOKUP(C22,$B$7:$C$9,2,FALSE)</f>
        <v>2000000</v>
      </c>
      <c r="H22" s="3" t="str">
        <f t="shared" ref="H22:H29" si="1">IF(E22&gt;G22,"Yes","No")</f>
        <v>No</v>
      </c>
      <c r="I22" s="11" t="str">
        <f t="shared" ref="I22:I29" si="2">IF(AND(OR(D22="Positive",D22="Restricted Positive"),H22="Yes"),"YES - accepted above threshold","No")</f>
        <v>No</v>
      </c>
      <c r="J22" s="17" t="str">
        <f>'Master Data'!AG2</f>
        <v>range (vs Spinraza+BSC: 0.85-3.2M; vs BSC alone: 2.9-5.7M)</v>
      </c>
    </row>
    <row r="23" spans="2:10" x14ac:dyDescent="0.2">
      <c r="B23" s="3" t="str">
        <f>'Master Data'!A5</f>
        <v>Evrysdi</v>
      </c>
      <c r="C23" s="3" t="str">
        <f>'Master Data'!H5</f>
        <v>Ultra-severe (immediately life-threatening)</v>
      </c>
      <c r="D23" s="3" t="str">
        <f>'Master Data'!M5</f>
        <v>Restricted Positive</v>
      </c>
      <c r="E23" s="16">
        <f>'Master Data'!AE5</f>
        <v>800000</v>
      </c>
      <c r="F23" s="16">
        <f>'Master Data'!AF5</f>
        <v>7900000</v>
      </c>
      <c r="G23" s="16">
        <f t="shared" si="0"/>
        <v>2000000</v>
      </c>
      <c r="H23" s="3" t="str">
        <f t="shared" si="1"/>
        <v>No</v>
      </c>
      <c r="I23" s="11" t="str">
        <f t="shared" si="2"/>
        <v>No</v>
      </c>
      <c r="J23" s="17" t="str">
        <f>'Master Data'!AG5</f>
        <v>range across 2021 and 2025 reassessments, by SMA subtype</v>
      </c>
    </row>
    <row r="24" spans="2:10" x14ac:dyDescent="0.2">
      <c r="B24" s="3" t="str">
        <f>'Master Data'!A8</f>
        <v>Spinraza</v>
      </c>
      <c r="C24" s="3" t="str">
        <f>'Master Data'!H8</f>
        <v>Ultra-severe (immediately life-threatening)</v>
      </c>
      <c r="D24" s="3" t="str">
        <f>'Master Data'!M8</f>
        <v>Positive</v>
      </c>
      <c r="E24" s="16">
        <f>'Master Data'!AE8</f>
        <v>4100000</v>
      </c>
      <c r="F24" s="16">
        <f>'Master Data'!AF8</f>
        <v>12800000</v>
      </c>
      <c r="G24" s="16">
        <f t="shared" si="0"/>
        <v>2000000</v>
      </c>
      <c r="H24" s="3" t="str">
        <f t="shared" si="1"/>
        <v>Yes</v>
      </c>
      <c r="I24" s="11" t="str">
        <f t="shared" si="2"/>
        <v>YES - accepted above threshold</v>
      </c>
      <c r="J24" s="17" t="str">
        <f>'Master Data'!AG8</f>
        <v>range across 2017 and 2023 reassessments, by SMA subtype</v>
      </c>
    </row>
    <row r="25" spans="2:10" x14ac:dyDescent="0.2">
      <c r="B25" s="3" t="str">
        <f>'Master Data'!A41</f>
        <v>Filsuvez</v>
      </c>
      <c r="C25" s="3" t="str">
        <f>'Master Data'!H41</f>
        <v>Severe (progressive, life-shortening)</v>
      </c>
      <c r="D25" s="3" t="str">
        <f>'Master Data'!M41</f>
        <v>Negative</v>
      </c>
      <c r="E25" s="16">
        <f>'Master Data'!AE41</f>
        <v>1200000</v>
      </c>
      <c r="F25" s="16">
        <f>'Master Data'!AF41</f>
        <v>2800000</v>
      </c>
      <c r="G25" s="16">
        <f t="shared" si="0"/>
        <v>1000000</v>
      </c>
      <c r="H25" s="3" t="str">
        <f t="shared" si="1"/>
        <v>Yes</v>
      </c>
      <c r="I25" s="11" t="str">
        <f t="shared" si="2"/>
        <v>No</v>
      </c>
      <c r="J25" s="17" t="str">
        <f>'Master Data'!AG41</f>
        <v>range (TLV scenario ~2.1M, sensitivity 1.2-2.8M)</v>
      </c>
    </row>
    <row r="26" spans="2:10" x14ac:dyDescent="0.2">
      <c r="B26" s="3" t="str">
        <f>'Master Data'!A71</f>
        <v>Crysvita</v>
      </c>
      <c r="C26" s="3" t="str">
        <f>'Master Data'!H71</f>
        <v>Serious (chronic, manageable)</v>
      </c>
      <c r="D26" s="3" t="str">
        <f>'Master Data'!M71</f>
        <v>Restricted Positive</v>
      </c>
      <c r="E26" s="16">
        <f>'Master Data'!AE71</f>
        <v>12000000</v>
      </c>
      <c r="F26" s="16">
        <f>'Master Data'!AF71</f>
        <v>12000000</v>
      </c>
      <c r="G26" s="16">
        <f t="shared" si="0"/>
        <v>500000</v>
      </c>
      <c r="H26" s="3" t="str">
        <f t="shared" si="1"/>
        <v>Yes</v>
      </c>
      <c r="I26" s="11" t="str">
        <f t="shared" si="2"/>
        <v>YES - accepted above threshold</v>
      </c>
      <c r="J26" s="17" t="str">
        <f>'Master Data'!AG71</f>
        <v>exact (approx., vs conventional therapy)</v>
      </c>
    </row>
    <row r="27" spans="2:10" x14ac:dyDescent="0.2">
      <c r="B27" s="3" t="str">
        <f>'Master Data'!A86</f>
        <v>Koselugo</v>
      </c>
      <c r="C27" s="3" t="str">
        <f>'Master Data'!H86</f>
        <v>Severe (progressive, life-shortening)</v>
      </c>
      <c r="D27" s="3" t="str">
        <f>'Master Data'!M86</f>
        <v>Negative</v>
      </c>
      <c r="E27" s="16">
        <f>'Master Data'!AE86</f>
        <v>1756579</v>
      </c>
      <c r="F27" s="16">
        <f>'Master Data'!AF86</f>
        <v>1756579</v>
      </c>
      <c r="G27" s="16">
        <f t="shared" si="0"/>
        <v>1000000</v>
      </c>
      <c r="H27" s="3" t="str">
        <f t="shared" si="1"/>
        <v>Yes</v>
      </c>
      <c r="I27" s="11" t="str">
        <f t="shared" si="2"/>
        <v>No</v>
      </c>
      <c r="J27" s="17" t="str">
        <f>'Master Data'!AG86</f>
        <v>exact (company base case, TLV rejected 11 Jul 2024)</v>
      </c>
    </row>
    <row r="28" spans="2:10" x14ac:dyDescent="0.2">
      <c r="B28" s="3" t="str">
        <f>'Master Data'!A101</f>
        <v>Kaftrio</v>
      </c>
      <c r="C28" s="3" t="str">
        <f>'Master Data'!H101</f>
        <v>Severe (progressive, life-shortening)</v>
      </c>
      <c r="D28" s="3" t="str">
        <f>'Master Data'!M101</f>
        <v>Positive</v>
      </c>
      <c r="E28" s="16">
        <f>'Master Data'!AE101</f>
        <v>7700000</v>
      </c>
      <c r="F28" s="16">
        <f>'Master Data'!AF101</f>
        <v>11700000</v>
      </c>
      <c r="G28" s="16">
        <f t="shared" si="0"/>
        <v>1000000</v>
      </c>
      <c r="H28" s="3" t="str">
        <f t="shared" si="1"/>
        <v>Yes</v>
      </c>
      <c r="I28" s="11" t="str">
        <f t="shared" si="2"/>
        <v>YES - accepted above threshold</v>
      </c>
      <c r="J28" s="17" t="str">
        <f>'Master Data'!AG101</f>
        <v>range (earlier 2021 estimate for F/MF; final ICER confidential after agreement)</v>
      </c>
    </row>
    <row r="29" spans="2:10" x14ac:dyDescent="0.2">
      <c r="B29" s="3" t="str">
        <f>'Master Data'!A125</f>
        <v>Qalsody</v>
      </c>
      <c r="C29" s="3" t="str">
        <f>'Master Data'!H125</f>
        <v>Ultra-severe (immediately life-threatening)</v>
      </c>
      <c r="D29" s="3" t="str">
        <f>'Master Data'!M125</f>
        <v>Restricted Positive</v>
      </c>
      <c r="E29" s="16">
        <f>'Master Data'!AE125</f>
        <v>10600000</v>
      </c>
      <c r="F29" s="16">
        <f>'Master Data'!AF125</f>
        <v>28300000</v>
      </c>
      <c r="G29" s="16">
        <f t="shared" si="0"/>
        <v>2000000</v>
      </c>
      <c r="H29" s="3" t="str">
        <f t="shared" si="1"/>
        <v>Yes</v>
      </c>
      <c r="I29" s="11" t="str">
        <f t="shared" si="2"/>
        <v>YES - accepted above threshold</v>
      </c>
      <c r="J29" s="17" t="str">
        <f>'Master Data'!AG125</f>
        <v>range (PDF-sourced research estimate)</v>
      </c>
    </row>
    <row r="31" spans="2:10" ht="368" x14ac:dyDescent="0.2">
      <c r="B31" s="13" t="s">
        <v>1630</v>
      </c>
    </row>
    <row r="33" spans="2:2" ht="344" x14ac:dyDescent="0.2">
      <c r="B33" s="13" t="s">
        <v>1631</v>
      </c>
    </row>
    <row r="35" spans="2:2" ht="409.6" x14ac:dyDescent="0.2">
      <c r="B35" s="13" t="s">
        <v>1632</v>
      </c>
    </row>
  </sheetData>
  <pageMargins left="0.75" right="0.75" top="1" bottom="1" header="0.5" footer="0.5"/>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M28"/>
  <sheetViews>
    <sheetView showGridLines="0" workbookViewId="0"/>
  </sheetViews>
  <sheetFormatPr baseColWidth="10" defaultColWidth="8.83203125" defaultRowHeight="15" x14ac:dyDescent="0.2"/>
  <cols>
    <col min="1" max="1" width="3" customWidth="1"/>
    <col min="2" max="2" width="28" customWidth="1"/>
    <col min="3" max="13" width="14" customWidth="1"/>
  </cols>
  <sheetData>
    <row r="2" spans="2:13" ht="18" x14ac:dyDescent="0.2">
      <c r="B2" s="4" t="s">
        <v>1633</v>
      </c>
    </row>
    <row r="3" spans="2:13" ht="57" x14ac:dyDescent="0.2">
      <c r="B3" s="8" t="s">
        <v>1634</v>
      </c>
    </row>
    <row r="5" spans="2:13" x14ac:dyDescent="0.2">
      <c r="B5" s="9" t="s">
        <v>1635</v>
      </c>
    </row>
    <row r="6" spans="2:13" ht="28" x14ac:dyDescent="0.2">
      <c r="B6" s="10" t="s">
        <v>1636</v>
      </c>
      <c r="C6" s="10" t="s">
        <v>102</v>
      </c>
      <c r="D6" s="10" t="s">
        <v>133</v>
      </c>
      <c r="E6" s="10" t="s">
        <v>84</v>
      </c>
      <c r="F6" s="10" t="s">
        <v>242</v>
      </c>
      <c r="G6" s="10" t="s">
        <v>363</v>
      </c>
      <c r="H6" s="10" t="s">
        <v>218</v>
      </c>
      <c r="I6" s="10" t="s">
        <v>1637</v>
      </c>
      <c r="J6" s="10" t="s">
        <v>1638</v>
      </c>
      <c r="K6" s="10" t="s">
        <v>1639</v>
      </c>
      <c r="L6" s="10" t="s">
        <v>1640</v>
      </c>
      <c r="M6" s="10" t="s">
        <v>1641</v>
      </c>
    </row>
    <row r="7" spans="2:13" x14ac:dyDescent="0.2">
      <c r="B7" s="11" t="s">
        <v>98</v>
      </c>
      <c r="C7" s="3">
        <f>COUNTIFS('Master Data'!$AH$2:$AH$175,"Gene therapy",'Master Data'!$M$2:$M$175,"Positive")</f>
        <v>7</v>
      </c>
      <c r="D7" s="3">
        <f>COUNTIFS('Master Data'!$AH$2:$AH$175,"Gene therapy",'Master Data'!$M$2:$M$175,"Restricted Positive")</f>
        <v>1</v>
      </c>
      <c r="E7" s="3">
        <f>COUNTIFS('Master Data'!$AH$2:$AH$175,"Gene therapy",'Master Data'!$M$2:$M$175,"Negative")</f>
        <v>6</v>
      </c>
      <c r="F7" s="3">
        <f>COUNTIFS('Master Data'!$AH$2:$AH$175,"Gene therapy",'Master Data'!$M$2:$M$175,"Withdrawn")</f>
        <v>6</v>
      </c>
      <c r="G7" s="3">
        <f>COUNTIFS('Master Data'!$AH$2:$AH$175,"Gene therapy",'Master Data'!$M$2:$M$175,"Ongoing/Pending")</f>
        <v>5</v>
      </c>
      <c r="H7" s="3">
        <f>COUNTIFS('Master Data'!$AH$2:$AH$175,"Gene therapy",'Master Data'!$M$2:$M$175,"Not Evaluated")</f>
        <v>5</v>
      </c>
      <c r="I7" s="3">
        <f t="shared" ref="I7:I14" si="0">SUM(C7:H7)-H7</f>
        <v>25</v>
      </c>
      <c r="J7" s="3">
        <f t="shared" ref="J7:J14" si="1">C7+D7</f>
        <v>8</v>
      </c>
      <c r="K7" s="12">
        <f t="shared" ref="K7:K14" si="2">IF(I7=0,"",(J7/I7))</f>
        <v>0.32</v>
      </c>
      <c r="L7" s="12">
        <f t="shared" ref="L7:L14" si="3">IF(I7=0,"",MAX(0,(((J7/I7)+1.959963985^2/(2*I7))/(1+1.959963985^2/I7))-((1.959963985*SQRT(((J7/I7)*(1-(J7/I7))/I7)+(1.959963985^2/(4*I7^2))))/(1+1.959963985^2/I7))))</f>
        <v>0.1720519030431818</v>
      </c>
      <c r="M7" s="12">
        <f t="shared" ref="M7:M14" si="4">IF(I7=0,"",MIN(1,(((J7/I7)+1.959963985^2/(2*I7))/(1+1.959963985^2/I7))+((1.959963985*SQRT(((J7/I7)*(1-(J7/I7))/I7)+(1.959963985^2/(4*I7^2))))/(1+1.959963985^2/I7))))</f>
        <v>0.51589730731438266</v>
      </c>
    </row>
    <row r="8" spans="2:13" x14ac:dyDescent="0.2">
      <c r="B8" s="11" t="s">
        <v>1347</v>
      </c>
      <c r="C8" s="3">
        <f>COUNTIFS('Master Data'!$AH$2:$AH$175,"Cell therapy",'Master Data'!$M$2:$M$175,"Positive")</f>
        <v>3</v>
      </c>
      <c r="D8" s="3">
        <f>COUNTIFS('Master Data'!$AH$2:$AH$175,"Cell therapy",'Master Data'!$M$2:$M$175,"Restricted Positive")</f>
        <v>0</v>
      </c>
      <c r="E8" s="3">
        <f>COUNTIFS('Master Data'!$AH$2:$AH$175,"Cell therapy",'Master Data'!$M$2:$M$175,"Negative")</f>
        <v>3</v>
      </c>
      <c r="F8" s="3">
        <f>COUNTIFS('Master Data'!$AH$2:$AH$175,"Cell therapy",'Master Data'!$M$2:$M$175,"Withdrawn")</f>
        <v>0</v>
      </c>
      <c r="G8" s="3">
        <f>COUNTIFS('Master Data'!$AH$2:$AH$175,"Cell therapy",'Master Data'!$M$2:$M$175,"Ongoing/Pending")</f>
        <v>0</v>
      </c>
      <c r="H8" s="3">
        <f>COUNTIFS('Master Data'!$AH$2:$AH$175,"Cell therapy",'Master Data'!$M$2:$M$175,"Not Evaluated")</f>
        <v>15</v>
      </c>
      <c r="I8" s="3">
        <f t="shared" si="0"/>
        <v>6</v>
      </c>
      <c r="J8" s="3">
        <f t="shared" si="1"/>
        <v>3</v>
      </c>
      <c r="K8" s="12">
        <f t="shared" si="2"/>
        <v>0.5</v>
      </c>
      <c r="L8" s="12">
        <f t="shared" si="3"/>
        <v>0.18761630643795763</v>
      </c>
      <c r="M8" s="12">
        <f t="shared" si="4"/>
        <v>0.81238369356204232</v>
      </c>
    </row>
    <row r="9" spans="2:13" x14ac:dyDescent="0.2">
      <c r="B9" s="11" t="s">
        <v>178</v>
      </c>
      <c r="C9" s="3">
        <f>COUNTIFS('Master Data'!$AH$2:$AH$175,"RNA-targeted",'Master Data'!$M$2:$M$175,"Positive")</f>
        <v>2</v>
      </c>
      <c r="D9" s="3">
        <f>COUNTIFS('Master Data'!$AH$2:$AH$175,"RNA-targeted",'Master Data'!$M$2:$M$175,"Restricted Positive")</f>
        <v>8</v>
      </c>
      <c r="E9" s="3">
        <f>COUNTIFS('Master Data'!$AH$2:$AH$175,"RNA-targeted",'Master Data'!$M$2:$M$175,"Negative")</f>
        <v>3</v>
      </c>
      <c r="F9" s="3">
        <f>COUNTIFS('Master Data'!$AH$2:$AH$175,"RNA-targeted",'Master Data'!$M$2:$M$175,"Withdrawn")</f>
        <v>0</v>
      </c>
      <c r="G9" s="3">
        <f>COUNTIFS('Master Data'!$AH$2:$AH$175,"RNA-targeted",'Master Data'!$M$2:$M$175,"Ongoing/Pending")</f>
        <v>2</v>
      </c>
      <c r="H9" s="3">
        <f>COUNTIFS('Master Data'!$AH$2:$AH$175,"RNA-targeted",'Master Data'!$M$2:$M$175,"Not Evaluated")</f>
        <v>3</v>
      </c>
      <c r="I9" s="3">
        <f t="shared" si="0"/>
        <v>15</v>
      </c>
      <c r="J9" s="3">
        <f t="shared" si="1"/>
        <v>10</v>
      </c>
      <c r="K9" s="12">
        <f t="shared" si="2"/>
        <v>0.66666666666666663</v>
      </c>
      <c r="L9" s="12">
        <f t="shared" si="3"/>
        <v>0.4171354773312298</v>
      </c>
      <c r="M9" s="12">
        <f t="shared" si="4"/>
        <v>0.84823675563142686</v>
      </c>
    </row>
    <row r="10" spans="2:13" x14ac:dyDescent="0.2">
      <c r="B10" s="11" t="s">
        <v>324</v>
      </c>
      <c r="C10" s="3">
        <f>COUNTIFS('Master Data'!$AH$2:$AH$175,"Monoclonal antibody",'Master Data'!$M$2:$M$175,"Positive")</f>
        <v>5</v>
      </c>
      <c r="D10" s="3">
        <f>COUNTIFS('Master Data'!$AH$2:$AH$175,"Monoclonal antibody",'Master Data'!$M$2:$M$175,"Restricted Positive")</f>
        <v>7</v>
      </c>
      <c r="E10" s="3">
        <f>COUNTIFS('Master Data'!$AH$2:$AH$175,"Monoclonal antibody",'Master Data'!$M$2:$M$175,"Negative")</f>
        <v>6</v>
      </c>
      <c r="F10" s="3">
        <f>COUNTIFS('Master Data'!$AH$2:$AH$175,"Monoclonal antibody",'Master Data'!$M$2:$M$175,"Withdrawn")</f>
        <v>1</v>
      </c>
      <c r="G10" s="3">
        <f>COUNTIFS('Master Data'!$AH$2:$AH$175,"Monoclonal antibody",'Master Data'!$M$2:$M$175,"Ongoing/Pending")</f>
        <v>4</v>
      </c>
      <c r="H10" s="3">
        <f>COUNTIFS('Master Data'!$AH$2:$AH$175,"Monoclonal antibody",'Master Data'!$M$2:$M$175,"Not Evaluated")</f>
        <v>13</v>
      </c>
      <c r="I10" s="3">
        <f t="shared" si="0"/>
        <v>23</v>
      </c>
      <c r="J10" s="3">
        <f t="shared" si="1"/>
        <v>12</v>
      </c>
      <c r="K10" s="12">
        <f t="shared" si="2"/>
        <v>0.52173913043478259</v>
      </c>
      <c r="L10" s="12">
        <f t="shared" si="3"/>
        <v>0.3296273733250073</v>
      </c>
      <c r="M10" s="12">
        <f t="shared" si="4"/>
        <v>0.70762842587029784</v>
      </c>
    </row>
    <row r="11" spans="2:13" x14ac:dyDescent="0.2">
      <c r="B11" s="11" t="s">
        <v>512</v>
      </c>
      <c r="C11" s="3">
        <f>COUNTIFS('Master Data'!$AH$2:$AH$175,"Enzyme replacement therapy",'Master Data'!$M$2:$M$175,"Positive")</f>
        <v>5</v>
      </c>
      <c r="D11" s="3">
        <f>COUNTIFS('Master Data'!$AH$2:$AH$175,"Enzyme replacement therapy",'Master Data'!$M$2:$M$175,"Restricted Positive")</f>
        <v>7</v>
      </c>
      <c r="E11" s="3">
        <f>COUNTIFS('Master Data'!$AH$2:$AH$175,"Enzyme replacement therapy",'Master Data'!$M$2:$M$175,"Negative")</f>
        <v>6</v>
      </c>
      <c r="F11" s="3">
        <f>COUNTIFS('Master Data'!$AH$2:$AH$175,"Enzyme replacement therapy",'Master Data'!$M$2:$M$175,"Withdrawn")</f>
        <v>0</v>
      </c>
      <c r="G11" s="3">
        <f>COUNTIFS('Master Data'!$AH$2:$AH$175,"Enzyme replacement therapy",'Master Data'!$M$2:$M$175,"Ongoing/Pending")</f>
        <v>2</v>
      </c>
      <c r="H11" s="3">
        <f>COUNTIFS('Master Data'!$AH$2:$AH$175,"Enzyme replacement therapy",'Master Data'!$M$2:$M$175,"Not Evaluated")</f>
        <v>4</v>
      </c>
      <c r="I11" s="3">
        <f t="shared" si="0"/>
        <v>20</v>
      </c>
      <c r="J11" s="3">
        <f t="shared" si="1"/>
        <v>12</v>
      </c>
      <c r="K11" s="12">
        <f t="shared" si="2"/>
        <v>0.6</v>
      </c>
      <c r="L11" s="12">
        <f t="shared" si="3"/>
        <v>0.3865815007168088</v>
      </c>
      <c r="M11" s="12">
        <f t="shared" si="4"/>
        <v>0.78119346765993969</v>
      </c>
    </row>
    <row r="12" spans="2:13" x14ac:dyDescent="0.2">
      <c r="B12" s="11" t="s">
        <v>129</v>
      </c>
      <c r="C12" s="3">
        <f>COUNTIFS('Master Data'!$AH$2:$AH$175,"Small molecule",'Master Data'!$M$2:$M$175,"Positive")</f>
        <v>13</v>
      </c>
      <c r="D12" s="3">
        <f>COUNTIFS('Master Data'!$AH$2:$AH$175,"Small molecule",'Master Data'!$M$2:$M$175,"Restricted Positive")</f>
        <v>10</v>
      </c>
      <c r="E12" s="3">
        <f>COUNTIFS('Master Data'!$AH$2:$AH$175,"Small molecule",'Master Data'!$M$2:$M$175,"Negative")</f>
        <v>10</v>
      </c>
      <c r="F12" s="3">
        <f>COUNTIFS('Master Data'!$AH$2:$AH$175,"Small molecule",'Master Data'!$M$2:$M$175,"Withdrawn")</f>
        <v>1</v>
      </c>
      <c r="G12" s="3">
        <f>COUNTIFS('Master Data'!$AH$2:$AH$175,"Small molecule",'Master Data'!$M$2:$M$175,"Ongoing/Pending")</f>
        <v>1</v>
      </c>
      <c r="H12" s="3">
        <f>COUNTIFS('Master Data'!$AH$2:$AH$175,"Small molecule",'Master Data'!$M$2:$M$175,"Not Evaluated")</f>
        <v>1</v>
      </c>
      <c r="I12" s="3">
        <f t="shared" si="0"/>
        <v>35</v>
      </c>
      <c r="J12" s="3">
        <f t="shared" si="1"/>
        <v>23</v>
      </c>
      <c r="K12" s="12">
        <f t="shared" si="2"/>
        <v>0.65714285714285714</v>
      </c>
      <c r="L12" s="12">
        <f t="shared" si="3"/>
        <v>0.49151949510131288</v>
      </c>
      <c r="M12" s="12">
        <f t="shared" si="4"/>
        <v>0.79168305015501428</v>
      </c>
    </row>
    <row r="13" spans="2:13" x14ac:dyDescent="0.2">
      <c r="B13" s="11" t="s">
        <v>432</v>
      </c>
      <c r="C13" s="3">
        <f>COUNTIFS('Master Data'!$AH$2:$AH$175,"Recombinant protein",'Master Data'!$M$2:$M$175,"Positive")</f>
        <v>0</v>
      </c>
      <c r="D13" s="3">
        <f>COUNTIFS('Master Data'!$AH$2:$AH$175,"Recombinant protein",'Master Data'!$M$2:$M$175,"Restricted Positive")</f>
        <v>3</v>
      </c>
      <c r="E13" s="3">
        <f>COUNTIFS('Master Data'!$AH$2:$AH$175,"Recombinant protein",'Master Data'!$M$2:$M$175,"Negative")</f>
        <v>2</v>
      </c>
      <c r="F13" s="3">
        <f>COUNTIFS('Master Data'!$AH$2:$AH$175,"Recombinant protein",'Master Data'!$M$2:$M$175,"Withdrawn")</f>
        <v>0</v>
      </c>
      <c r="G13" s="3">
        <f>COUNTIFS('Master Data'!$AH$2:$AH$175,"Recombinant protein",'Master Data'!$M$2:$M$175,"Ongoing/Pending")</f>
        <v>0</v>
      </c>
      <c r="H13" s="3">
        <f>COUNTIFS('Master Data'!$AH$2:$AH$175,"Recombinant protein",'Master Data'!$M$2:$M$175,"Not Evaluated")</f>
        <v>1</v>
      </c>
      <c r="I13" s="3">
        <f t="shared" si="0"/>
        <v>5</v>
      </c>
      <c r="J13" s="3">
        <f t="shared" si="1"/>
        <v>3</v>
      </c>
      <c r="K13" s="12">
        <f t="shared" si="2"/>
        <v>0.6</v>
      </c>
      <c r="L13" s="12">
        <f t="shared" si="3"/>
        <v>0.23072428122047123</v>
      </c>
      <c r="M13" s="12">
        <f t="shared" si="4"/>
        <v>0.88237922579982953</v>
      </c>
    </row>
    <row r="14" spans="2:13" x14ac:dyDescent="0.2">
      <c r="B14" s="11" t="s">
        <v>492</v>
      </c>
      <c r="C14" s="3">
        <f>COUNTIFS('Master Data'!$AH$2:$AH$175,"Other biologic",'Master Data'!$M$2:$M$175,"Positive")</f>
        <v>0</v>
      </c>
      <c r="D14" s="3">
        <f>COUNTIFS('Master Data'!$AH$2:$AH$175,"Other biologic",'Master Data'!$M$2:$M$175,"Restricted Positive")</f>
        <v>0</v>
      </c>
      <c r="E14" s="3">
        <f>COUNTIFS('Master Data'!$AH$2:$AH$175,"Other biologic",'Master Data'!$M$2:$M$175,"Negative")</f>
        <v>2</v>
      </c>
      <c r="F14" s="3">
        <f>COUNTIFS('Master Data'!$AH$2:$AH$175,"Other biologic",'Master Data'!$M$2:$M$175,"Withdrawn")</f>
        <v>0</v>
      </c>
      <c r="G14" s="3">
        <f>COUNTIFS('Master Data'!$AH$2:$AH$175,"Other biologic",'Master Data'!$M$2:$M$175,"Ongoing/Pending")</f>
        <v>1</v>
      </c>
      <c r="H14" s="3">
        <f>COUNTIFS('Master Data'!$AH$2:$AH$175,"Other biologic",'Master Data'!$M$2:$M$175,"Not Evaluated")</f>
        <v>0</v>
      </c>
      <c r="I14" s="3">
        <f t="shared" si="0"/>
        <v>3</v>
      </c>
      <c r="J14" s="3">
        <f t="shared" si="1"/>
        <v>0</v>
      </c>
      <c r="K14" s="12">
        <f t="shared" si="2"/>
        <v>0</v>
      </c>
      <c r="L14" s="12">
        <f t="shared" si="3"/>
        <v>0</v>
      </c>
      <c r="M14" s="12">
        <f t="shared" si="4"/>
        <v>0.56149703187060573</v>
      </c>
    </row>
    <row r="17" spans="2:5" x14ac:dyDescent="0.2">
      <c r="B17" s="9" t="s">
        <v>1642</v>
      </c>
    </row>
    <row r="18" spans="2:5" x14ac:dyDescent="0.2">
      <c r="B18" s="10" t="s">
        <v>1636</v>
      </c>
      <c r="C18" s="10" t="s">
        <v>80</v>
      </c>
      <c r="D18" s="10" t="s">
        <v>99</v>
      </c>
      <c r="E18" s="10" t="s">
        <v>113</v>
      </c>
    </row>
    <row r="19" spans="2:5" x14ac:dyDescent="0.2">
      <c r="B19" s="11" t="s">
        <v>98</v>
      </c>
      <c r="C19" s="12">
        <f>IF(COUNTIFS('Master Data'!$AH$2:$AH$175,"Gene therapy",'Master Data'!$I$2:$I$175,"Sweden",'Master Data'!$AD$2:$AD$175,1)=0,"n/a",COUNTIFS('Master Data'!$AH$2:$AH$175,"Gene therapy",'Master Data'!$I$2:$I$175,"Sweden",'Master Data'!$AC$2:$AC$175,1)/COUNTIFS('Master Data'!$AH$2:$AH$175,"Gene therapy",'Master Data'!$I$2:$I$175,"Sweden",'Master Data'!$AD$2:$AD$175,1))</f>
        <v>0.1</v>
      </c>
      <c r="D19" s="12">
        <f>IF(COUNTIFS('Master Data'!$AH$2:$AH$175,"Gene therapy",'Master Data'!$I$2:$I$175,"Denmark",'Master Data'!$AD$2:$AD$175,1)=0,"n/a",COUNTIFS('Master Data'!$AH$2:$AH$175,"Gene therapy",'Master Data'!$I$2:$I$175,"Denmark",'Master Data'!$AC$2:$AC$175,1)/COUNTIFS('Master Data'!$AH$2:$AH$175,"Gene therapy",'Master Data'!$I$2:$I$175,"Denmark",'Master Data'!$AD$2:$AD$175,1))</f>
        <v>0.5</v>
      </c>
      <c r="E19" s="12">
        <f>IF(COUNTIFS('Master Data'!$AH$2:$AH$175,"Gene therapy",'Master Data'!$I$2:$I$175,"Norway",'Master Data'!$AD$2:$AD$175,1)=0,"n/a",COUNTIFS('Master Data'!$AH$2:$AH$175,"Gene therapy",'Master Data'!$I$2:$I$175,"Norway",'Master Data'!$AC$2:$AC$175,1)/COUNTIFS('Master Data'!$AH$2:$AH$175,"Gene therapy",'Master Data'!$I$2:$I$175,"Norway",'Master Data'!$AD$2:$AD$175,1))</f>
        <v>0.44444444444444442</v>
      </c>
    </row>
    <row r="20" spans="2:5" x14ac:dyDescent="0.2">
      <c r="B20" s="11" t="s">
        <v>1347</v>
      </c>
      <c r="C20" s="12">
        <f>IF(COUNTIFS('Master Data'!$AH$2:$AH$175,"Cell therapy",'Master Data'!$I$2:$I$175,"Sweden",'Master Data'!$AD$2:$AD$175,1)=0,"n/a",COUNTIFS('Master Data'!$AH$2:$AH$175,"Cell therapy",'Master Data'!$I$2:$I$175,"Sweden",'Master Data'!$AC$2:$AC$175,1)/COUNTIFS('Master Data'!$AH$2:$AH$175,"Cell therapy",'Master Data'!$I$2:$I$175,"Sweden",'Master Data'!$AD$2:$AD$175,1))</f>
        <v>0.6</v>
      </c>
      <c r="D20" s="12">
        <f>IF(COUNTIFS('Master Data'!$AH$2:$AH$175,"Cell therapy",'Master Data'!$I$2:$I$175,"Denmark",'Master Data'!$AD$2:$AD$175,1)=0,"n/a",COUNTIFS('Master Data'!$AH$2:$AH$175,"Cell therapy",'Master Data'!$I$2:$I$175,"Denmark",'Master Data'!$AC$2:$AC$175,1)/COUNTIFS('Master Data'!$AH$2:$AH$175,"Cell therapy",'Master Data'!$I$2:$I$175,"Denmark",'Master Data'!$AD$2:$AD$175,1))</f>
        <v>0</v>
      </c>
      <c r="E20" s="12" t="str">
        <f>IF(COUNTIFS('Master Data'!$AH$2:$AH$175,"Cell therapy",'Master Data'!$I$2:$I$175,"Norway",'Master Data'!$AD$2:$AD$175,1)=0,"n/a",COUNTIFS('Master Data'!$AH$2:$AH$175,"Cell therapy",'Master Data'!$I$2:$I$175,"Norway",'Master Data'!$AC$2:$AC$175,1)/COUNTIFS('Master Data'!$AH$2:$AH$175,"Cell therapy",'Master Data'!$I$2:$I$175,"Norway",'Master Data'!$AD$2:$AD$175,1))</f>
        <v>n/a</v>
      </c>
    </row>
    <row r="21" spans="2:5" x14ac:dyDescent="0.2">
      <c r="B21" s="11" t="s">
        <v>178</v>
      </c>
      <c r="C21" s="12">
        <f>IF(COUNTIFS('Master Data'!$AH$2:$AH$175,"RNA-targeted",'Master Data'!$I$2:$I$175,"Sweden",'Master Data'!$AD$2:$AD$175,1)=0,"n/a",COUNTIFS('Master Data'!$AH$2:$AH$175,"RNA-targeted",'Master Data'!$I$2:$I$175,"Sweden",'Master Data'!$AC$2:$AC$175,1)/COUNTIFS('Master Data'!$AH$2:$AH$175,"RNA-targeted",'Master Data'!$I$2:$I$175,"Sweden",'Master Data'!$AD$2:$AD$175,1))</f>
        <v>1</v>
      </c>
      <c r="D21" s="12">
        <f>IF(COUNTIFS('Master Data'!$AH$2:$AH$175,"RNA-targeted",'Master Data'!$I$2:$I$175,"Denmark",'Master Data'!$AD$2:$AD$175,1)=0,"n/a",COUNTIFS('Master Data'!$AH$2:$AH$175,"RNA-targeted",'Master Data'!$I$2:$I$175,"Denmark",'Master Data'!$AC$2:$AC$175,1)/COUNTIFS('Master Data'!$AH$2:$AH$175,"RNA-targeted",'Master Data'!$I$2:$I$175,"Denmark",'Master Data'!$AD$2:$AD$175,1))</f>
        <v>0.6</v>
      </c>
      <c r="E21" s="12">
        <f>IF(COUNTIFS('Master Data'!$AH$2:$AH$175,"RNA-targeted",'Master Data'!$I$2:$I$175,"Norway",'Master Data'!$AD$2:$AD$175,1)=0,"n/a",COUNTIFS('Master Data'!$AH$2:$AH$175,"RNA-targeted",'Master Data'!$I$2:$I$175,"Norway",'Master Data'!$AC$2:$AC$175,1)/COUNTIFS('Master Data'!$AH$2:$AH$175,"RNA-targeted",'Master Data'!$I$2:$I$175,"Norway",'Master Data'!$AD$2:$AD$175,1))</f>
        <v>0.25</v>
      </c>
    </row>
    <row r="22" spans="2:5" x14ac:dyDescent="0.2">
      <c r="B22" s="11" t="s">
        <v>324</v>
      </c>
      <c r="C22" s="12">
        <f>IF(COUNTIFS('Master Data'!$AH$2:$AH$175,"Monoclonal antibody",'Master Data'!$I$2:$I$175,"Sweden",'Master Data'!$AD$2:$AD$175,1)=0,"n/a",COUNTIFS('Master Data'!$AH$2:$AH$175,"Monoclonal antibody",'Master Data'!$I$2:$I$175,"Sweden",'Master Data'!$AC$2:$AC$175,1)/COUNTIFS('Master Data'!$AH$2:$AH$175,"Monoclonal antibody",'Master Data'!$I$2:$I$175,"Sweden",'Master Data'!$AD$2:$AD$175,1))</f>
        <v>0.66666666666666663</v>
      </c>
      <c r="D22" s="12">
        <f>IF(COUNTIFS('Master Data'!$AH$2:$AH$175,"Monoclonal antibody",'Master Data'!$I$2:$I$175,"Denmark",'Master Data'!$AD$2:$AD$175,1)=0,"n/a",COUNTIFS('Master Data'!$AH$2:$AH$175,"Monoclonal antibody",'Master Data'!$I$2:$I$175,"Denmark",'Master Data'!$AC$2:$AC$175,1)/COUNTIFS('Master Data'!$AH$2:$AH$175,"Monoclonal antibody",'Master Data'!$I$2:$I$175,"Denmark",'Master Data'!$AD$2:$AD$175,1))</f>
        <v>0.55555555555555558</v>
      </c>
      <c r="E22" s="12">
        <f>IF(COUNTIFS('Master Data'!$AH$2:$AH$175,"Monoclonal antibody",'Master Data'!$I$2:$I$175,"Norway",'Master Data'!$AD$2:$AD$175,1)=0,"n/a",COUNTIFS('Master Data'!$AH$2:$AH$175,"Monoclonal antibody",'Master Data'!$I$2:$I$175,"Norway",'Master Data'!$AC$2:$AC$175,1)/COUNTIFS('Master Data'!$AH$2:$AH$175,"Monoclonal antibody",'Master Data'!$I$2:$I$175,"Norway",'Master Data'!$AD$2:$AD$175,1))</f>
        <v>0.375</v>
      </c>
    </row>
    <row r="23" spans="2:5" x14ac:dyDescent="0.2">
      <c r="B23" s="11" t="s">
        <v>512</v>
      </c>
      <c r="C23" s="12">
        <f>IF(COUNTIFS('Master Data'!$AH$2:$AH$175,"Enzyme replacement therapy",'Master Data'!$I$2:$I$175,"Sweden",'Master Data'!$AD$2:$AD$175,1)=0,"n/a",COUNTIFS('Master Data'!$AH$2:$AH$175,"Enzyme replacement therapy",'Master Data'!$I$2:$I$175,"Sweden",'Master Data'!$AC$2:$AC$175,1)/COUNTIFS('Master Data'!$AH$2:$AH$175,"Enzyme replacement therapy",'Master Data'!$I$2:$I$175,"Sweden",'Master Data'!$AD$2:$AD$175,1))</f>
        <v>0.42857142857142855</v>
      </c>
      <c r="D23" s="12">
        <f>IF(COUNTIFS('Master Data'!$AH$2:$AH$175,"Enzyme replacement therapy",'Master Data'!$I$2:$I$175,"Denmark",'Master Data'!$AD$2:$AD$175,1)=0,"n/a",COUNTIFS('Master Data'!$AH$2:$AH$175,"Enzyme replacement therapy",'Master Data'!$I$2:$I$175,"Denmark",'Master Data'!$AC$2:$AC$175,1)/COUNTIFS('Master Data'!$AH$2:$AH$175,"Enzyme replacement therapy",'Master Data'!$I$2:$I$175,"Denmark",'Master Data'!$AD$2:$AD$175,1))</f>
        <v>0.83333333333333337</v>
      </c>
      <c r="E23" s="12">
        <f>IF(COUNTIFS('Master Data'!$AH$2:$AH$175,"Enzyme replacement therapy",'Master Data'!$I$2:$I$175,"Norway",'Master Data'!$AD$2:$AD$175,1)=0,"n/a",COUNTIFS('Master Data'!$AH$2:$AH$175,"Enzyme replacement therapy",'Master Data'!$I$2:$I$175,"Norway",'Master Data'!$AC$2:$AC$175,1)/COUNTIFS('Master Data'!$AH$2:$AH$175,"Enzyme replacement therapy",'Master Data'!$I$2:$I$175,"Norway",'Master Data'!$AD$2:$AD$175,1))</f>
        <v>0.5714285714285714</v>
      </c>
    </row>
    <row r="24" spans="2:5" x14ac:dyDescent="0.2">
      <c r="B24" s="11" t="s">
        <v>129</v>
      </c>
      <c r="C24" s="12">
        <f>IF(COUNTIFS('Master Data'!$AH$2:$AH$175,"Small molecule",'Master Data'!$I$2:$I$175,"Sweden",'Master Data'!$AD$2:$AD$175,1)=0,"n/a",COUNTIFS('Master Data'!$AH$2:$AH$175,"Small molecule",'Master Data'!$I$2:$I$175,"Sweden",'Master Data'!$AC$2:$AC$175,1)/COUNTIFS('Master Data'!$AH$2:$AH$175,"Small molecule",'Master Data'!$I$2:$I$175,"Sweden",'Master Data'!$AD$2:$AD$175,1))</f>
        <v>0.58333333333333337</v>
      </c>
      <c r="D24" s="12">
        <f>IF(COUNTIFS('Master Data'!$AH$2:$AH$175,"Small molecule",'Master Data'!$I$2:$I$175,"Denmark",'Master Data'!$AD$2:$AD$175,1)=0,"n/a",COUNTIFS('Master Data'!$AH$2:$AH$175,"Small molecule",'Master Data'!$I$2:$I$175,"Denmark",'Master Data'!$AC$2:$AC$175,1)/COUNTIFS('Master Data'!$AH$2:$AH$175,"Small molecule",'Master Data'!$I$2:$I$175,"Denmark",'Master Data'!$AD$2:$AD$175,1))</f>
        <v>0.72727272727272729</v>
      </c>
      <c r="E24" s="12">
        <f>IF(COUNTIFS('Master Data'!$AH$2:$AH$175,"Small molecule",'Master Data'!$I$2:$I$175,"Norway",'Master Data'!$AD$2:$AD$175,1)=0,"n/a",COUNTIFS('Master Data'!$AH$2:$AH$175,"Small molecule",'Master Data'!$I$2:$I$175,"Norway",'Master Data'!$AC$2:$AC$175,1)/COUNTIFS('Master Data'!$AH$2:$AH$175,"Small molecule",'Master Data'!$I$2:$I$175,"Norway",'Master Data'!$AD$2:$AD$175,1))</f>
        <v>0.66666666666666663</v>
      </c>
    </row>
    <row r="25" spans="2:5" x14ac:dyDescent="0.2">
      <c r="B25" s="11" t="s">
        <v>432</v>
      </c>
      <c r="C25" s="12">
        <f>IF(COUNTIFS('Master Data'!$AH$2:$AH$175,"Recombinant protein",'Master Data'!$I$2:$I$175,"Sweden",'Master Data'!$AD$2:$AD$175,1)=0,"n/a",COUNTIFS('Master Data'!$AH$2:$AH$175,"Recombinant protein",'Master Data'!$I$2:$I$175,"Sweden",'Master Data'!$AC$2:$AC$175,1)/COUNTIFS('Master Data'!$AH$2:$AH$175,"Recombinant protein",'Master Data'!$I$2:$I$175,"Sweden",'Master Data'!$AD$2:$AD$175,1))</f>
        <v>1</v>
      </c>
      <c r="D25" s="12">
        <f>IF(COUNTIFS('Master Data'!$AH$2:$AH$175,"Recombinant protein",'Master Data'!$I$2:$I$175,"Denmark",'Master Data'!$AD$2:$AD$175,1)=0,"n/a",COUNTIFS('Master Data'!$AH$2:$AH$175,"Recombinant protein",'Master Data'!$I$2:$I$175,"Denmark",'Master Data'!$AC$2:$AC$175,1)/COUNTIFS('Master Data'!$AH$2:$AH$175,"Recombinant protein",'Master Data'!$I$2:$I$175,"Denmark",'Master Data'!$AD$2:$AD$175,1))</f>
        <v>1</v>
      </c>
      <c r="E25" s="12">
        <f>IF(COUNTIFS('Master Data'!$AH$2:$AH$175,"Recombinant protein",'Master Data'!$I$2:$I$175,"Norway",'Master Data'!$AD$2:$AD$175,1)=0,"n/a",COUNTIFS('Master Data'!$AH$2:$AH$175,"Recombinant protein",'Master Data'!$I$2:$I$175,"Norway",'Master Data'!$AC$2:$AC$175,1)/COUNTIFS('Master Data'!$AH$2:$AH$175,"Recombinant protein",'Master Data'!$I$2:$I$175,"Norway",'Master Data'!$AD$2:$AD$175,1))</f>
        <v>0</v>
      </c>
    </row>
    <row r="26" spans="2:5" x14ac:dyDescent="0.2">
      <c r="B26" s="11" t="s">
        <v>492</v>
      </c>
      <c r="C26" s="12">
        <f>IF(COUNTIFS('Master Data'!$AH$2:$AH$175,"Other biologic",'Master Data'!$I$2:$I$175,"Sweden",'Master Data'!$AD$2:$AD$175,1)=0,"n/a",COUNTIFS('Master Data'!$AH$2:$AH$175,"Other biologic",'Master Data'!$I$2:$I$175,"Sweden",'Master Data'!$AC$2:$AC$175,1)/COUNTIFS('Master Data'!$AH$2:$AH$175,"Other biologic",'Master Data'!$I$2:$I$175,"Sweden",'Master Data'!$AD$2:$AD$175,1))</f>
        <v>0</v>
      </c>
      <c r="D26" s="12">
        <f>IF(COUNTIFS('Master Data'!$AH$2:$AH$175,"Other biologic",'Master Data'!$I$2:$I$175,"Denmark",'Master Data'!$AD$2:$AD$175,1)=0,"n/a",COUNTIFS('Master Data'!$AH$2:$AH$175,"Other biologic",'Master Data'!$I$2:$I$175,"Denmark",'Master Data'!$AC$2:$AC$175,1)/COUNTIFS('Master Data'!$AH$2:$AH$175,"Other biologic",'Master Data'!$I$2:$I$175,"Denmark",'Master Data'!$AD$2:$AD$175,1))</f>
        <v>0</v>
      </c>
      <c r="E26" s="12">
        <f>IF(COUNTIFS('Master Data'!$AH$2:$AH$175,"Other biologic",'Master Data'!$I$2:$I$175,"Norway",'Master Data'!$AD$2:$AD$175,1)=0,"n/a",COUNTIFS('Master Data'!$AH$2:$AH$175,"Other biologic",'Master Data'!$I$2:$I$175,"Norway",'Master Data'!$AC$2:$AC$175,1)/COUNTIFS('Master Data'!$AH$2:$AH$175,"Other biologic",'Master Data'!$I$2:$I$175,"Norway",'Master Data'!$AD$2:$AD$175,1))</f>
        <v>0</v>
      </c>
    </row>
    <row r="28" spans="2:5" ht="156" x14ac:dyDescent="0.2">
      <c r="B28" s="13" t="s">
        <v>1643</v>
      </c>
    </row>
  </sheetData>
  <pageMargins left="0.75" right="0.75" top="1" bottom="1" header="0.5" footer="0.5"/>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G62"/>
  <sheetViews>
    <sheetView showGridLines="0" workbookViewId="0"/>
  </sheetViews>
  <sheetFormatPr baseColWidth="10" defaultColWidth="8.83203125" defaultRowHeight="15" x14ac:dyDescent="0.2"/>
  <cols>
    <col min="1" max="1" width="3" customWidth="1"/>
    <col min="2" max="2" width="32" customWidth="1"/>
    <col min="3" max="7" width="18" customWidth="1"/>
  </cols>
  <sheetData>
    <row r="2" spans="2:7" ht="18" x14ac:dyDescent="0.2">
      <c r="B2" s="4" t="s">
        <v>1644</v>
      </c>
    </row>
    <row r="3" spans="2:7" ht="99" x14ac:dyDescent="0.2">
      <c r="B3" s="8" t="s">
        <v>1645</v>
      </c>
    </row>
    <row r="5" spans="2:7" x14ac:dyDescent="0.2">
      <c r="B5" s="9" t="s">
        <v>1646</v>
      </c>
    </row>
    <row r="6" spans="2:7" ht="56" x14ac:dyDescent="0.2">
      <c r="B6" s="10" t="s">
        <v>1647</v>
      </c>
      <c r="C6" s="10" t="s">
        <v>1648</v>
      </c>
      <c r="D6" s="10" t="s">
        <v>1649</v>
      </c>
      <c r="E6" s="10" t="s">
        <v>1650</v>
      </c>
      <c r="F6" s="10" t="s">
        <v>1651</v>
      </c>
      <c r="G6" s="10" t="s">
        <v>1652</v>
      </c>
    </row>
    <row r="7" spans="2:7" x14ac:dyDescent="0.2">
      <c r="B7" s="11" t="s">
        <v>825</v>
      </c>
      <c r="C7" s="3">
        <f>COUNTIFS('Master Data'!$I$2:$I$175,"Sweden",'Master Data'!$E$2:$E$175,"Alexion (AstraZeneca Rare Disease)")</f>
        <v>7</v>
      </c>
      <c r="D7" s="3">
        <f>COUNTIFS('Master Data'!$I$2:$I$175,"Sweden",'Master Data'!$E$2:$E$175,"Alexion (AstraZeneca Rare Disease)",'Master Data'!$AI$2:$AI$175,1)</f>
        <v>2</v>
      </c>
      <c r="E7" s="12">
        <f t="shared" ref="E7:E33" si="0">IF(C7=0,"n/a",D7/C7)</f>
        <v>0.2857142857142857</v>
      </c>
      <c r="F7" s="3">
        <f t="shared" ref="F7:F33" si="1">C7-D7</f>
        <v>5</v>
      </c>
      <c r="G7" s="3">
        <f ca="1">COUNTIFS('Master Data'!$I$2:$I$175,"Sweden",'Master Data'!$E$2:$E$175,"Alexion (AstraZeneca Rare Disease)",'Master Data'!$AI$2:$AI$175,1,'Master Data'!$AJ$2:$AJ$175,"&gt;="&amp;2024)</f>
        <v>0</v>
      </c>
    </row>
    <row r="8" spans="2:7" x14ac:dyDescent="0.2">
      <c r="B8" s="11" t="s">
        <v>76</v>
      </c>
      <c r="C8" s="3">
        <f>COUNTIFS('Master Data'!$I$2:$I$175,"Sweden",'Master Data'!$E$2:$E$175,"Novartis")</f>
        <v>5</v>
      </c>
      <c r="D8" s="3">
        <f>COUNTIFS('Master Data'!$I$2:$I$175,"Sweden",'Master Data'!$E$2:$E$175,"Novartis",'Master Data'!$AI$2:$AI$175,1)</f>
        <v>3</v>
      </c>
      <c r="E8" s="12">
        <f t="shared" si="0"/>
        <v>0.6</v>
      </c>
      <c r="F8" s="3">
        <f t="shared" si="1"/>
        <v>2</v>
      </c>
      <c r="G8" s="3">
        <f ca="1">COUNTIFS('Master Data'!$I$2:$I$175,"Sweden",'Master Data'!$E$2:$E$175,"Novartis",'Master Data'!$AI$2:$AI$175,1,'Master Data'!$AJ$2:$AJ$175,"&gt;="&amp;2024)</f>
        <v>0</v>
      </c>
    </row>
    <row r="9" spans="2:7" x14ac:dyDescent="0.2">
      <c r="B9" s="11" t="s">
        <v>128</v>
      </c>
      <c r="C9" s="3">
        <f>COUNTIFS('Master Data'!$I$2:$I$175,"Sweden",'Master Data'!$E$2:$E$175,"Roche")</f>
        <v>4</v>
      </c>
      <c r="D9" s="3">
        <f>COUNTIFS('Master Data'!$I$2:$I$175,"Sweden",'Master Data'!$E$2:$E$175,"Roche",'Master Data'!$AI$2:$AI$175,1)</f>
        <v>2</v>
      </c>
      <c r="E9" s="12">
        <f t="shared" si="0"/>
        <v>0.5</v>
      </c>
      <c r="F9" s="3">
        <f t="shared" si="1"/>
        <v>2</v>
      </c>
      <c r="G9" s="3">
        <f ca="1">COUNTIFS('Master Data'!$I$2:$I$175,"Sweden",'Master Data'!$E$2:$E$175,"Roche",'Master Data'!$AI$2:$AI$175,1,'Master Data'!$AJ$2:$AJ$175,"&gt;="&amp;2024)</f>
        <v>0</v>
      </c>
    </row>
    <row r="10" spans="2:7" x14ac:dyDescent="0.2">
      <c r="B10" s="11" t="s">
        <v>480</v>
      </c>
      <c r="C10" s="3">
        <f>COUNTIFS('Master Data'!$I$2:$I$175,"Sweden",'Master Data'!$E$2:$E$175,"Chiesi Group")</f>
        <v>4</v>
      </c>
      <c r="D10" s="3">
        <f>COUNTIFS('Master Data'!$I$2:$I$175,"Sweden",'Master Data'!$E$2:$E$175,"Chiesi Group",'Master Data'!$AI$2:$AI$175,1)</f>
        <v>3</v>
      </c>
      <c r="E10" s="12">
        <f t="shared" si="0"/>
        <v>0.75</v>
      </c>
      <c r="F10" s="3">
        <f t="shared" si="1"/>
        <v>1</v>
      </c>
      <c r="G10" s="3">
        <f ca="1">COUNTIFS('Master Data'!$I$2:$I$175,"Sweden",'Master Data'!$E$2:$E$175,"Chiesi Group",'Master Data'!$AI$2:$AI$175,1,'Master Data'!$AJ$2:$AJ$175,"&gt;="&amp;2024)</f>
        <v>0</v>
      </c>
    </row>
    <row r="11" spans="2:7" x14ac:dyDescent="0.2">
      <c r="B11" s="11" t="s">
        <v>166</v>
      </c>
      <c r="C11" s="3">
        <f>COUNTIFS('Master Data'!$I$2:$I$175,"Sweden",'Master Data'!$E$2:$E$175,"Biogen")</f>
        <v>3</v>
      </c>
      <c r="D11" s="3">
        <f>COUNTIFS('Master Data'!$I$2:$I$175,"Sweden",'Master Data'!$E$2:$E$175,"Biogen",'Master Data'!$AI$2:$AI$175,1)</f>
        <v>2</v>
      </c>
      <c r="E11" s="12">
        <f t="shared" si="0"/>
        <v>0.66666666666666663</v>
      </c>
      <c r="F11" s="3">
        <f t="shared" si="1"/>
        <v>1</v>
      </c>
      <c r="G11" s="3">
        <f ca="1">COUNTIFS('Master Data'!$I$2:$I$175,"Sweden",'Master Data'!$E$2:$E$175,"Biogen",'Master Data'!$AI$2:$AI$175,1,'Master Data'!$AJ$2:$AJ$175,"&gt;="&amp;2024)</f>
        <v>0</v>
      </c>
    </row>
    <row r="12" spans="2:7" x14ac:dyDescent="0.2">
      <c r="B12" s="11" t="s">
        <v>345</v>
      </c>
      <c r="C12" s="3">
        <f>COUNTIFS('Master Data'!$I$2:$I$175,"Sweden",'Master Data'!$E$2:$E$175,"Pfizer")</f>
        <v>3</v>
      </c>
      <c r="D12" s="3">
        <f>COUNTIFS('Master Data'!$I$2:$I$175,"Sweden",'Master Data'!$E$2:$E$175,"Pfizer",'Master Data'!$AI$2:$AI$175,1)</f>
        <v>2</v>
      </c>
      <c r="E12" s="12">
        <f t="shared" si="0"/>
        <v>0.66666666666666663</v>
      </c>
      <c r="F12" s="3">
        <f t="shared" si="1"/>
        <v>1</v>
      </c>
      <c r="G12" s="3">
        <f ca="1">COUNTIFS('Master Data'!$I$2:$I$175,"Sweden",'Master Data'!$E$2:$E$175,"Pfizer",'Master Data'!$AI$2:$AI$175,1,'Master Data'!$AJ$2:$AJ$175,"&gt;="&amp;2024)</f>
        <v>0</v>
      </c>
    </row>
    <row r="13" spans="2:7" x14ac:dyDescent="0.2">
      <c r="B13" s="11" t="s">
        <v>610</v>
      </c>
      <c r="C13" s="3">
        <f>COUNTIFS('Master Data'!$I$2:$I$175,"Sweden",'Master Data'!$E$2:$E$175,"Alnylam")</f>
        <v>3</v>
      </c>
      <c r="D13" s="3">
        <f>COUNTIFS('Master Data'!$I$2:$I$175,"Sweden",'Master Data'!$E$2:$E$175,"Alnylam",'Master Data'!$AI$2:$AI$175,1)</f>
        <v>3</v>
      </c>
      <c r="E13" s="12">
        <f t="shared" si="0"/>
        <v>1</v>
      </c>
      <c r="F13" s="3">
        <f t="shared" si="1"/>
        <v>0</v>
      </c>
      <c r="G13" s="3">
        <f ca="1">COUNTIFS('Master Data'!$I$2:$I$175,"Sweden",'Master Data'!$E$2:$E$175,"Alnylam",'Master Data'!$AI$2:$AI$175,1,'Master Data'!$AJ$2:$AJ$175,"&gt;="&amp;2024)</f>
        <v>0</v>
      </c>
    </row>
    <row r="14" spans="2:7" x14ac:dyDescent="0.2">
      <c r="B14" s="11" t="s">
        <v>1400</v>
      </c>
      <c r="C14" s="3">
        <f>COUNTIFS('Master Data'!$I$2:$I$175,"Sweden",'Master Data'!$E$2:$E$175,"Kite (Gilead)")</f>
        <v>3</v>
      </c>
      <c r="D14" s="3">
        <f>COUNTIFS('Master Data'!$I$2:$I$175,"Sweden",'Master Data'!$E$2:$E$175,"Kite (Gilead)",'Master Data'!$AI$2:$AI$175,1)</f>
        <v>2</v>
      </c>
      <c r="E14" s="12">
        <f t="shared" si="0"/>
        <v>0.66666666666666663</v>
      </c>
      <c r="F14" s="3">
        <f t="shared" si="1"/>
        <v>1</v>
      </c>
      <c r="G14" s="3">
        <f ca="1">COUNTIFS('Master Data'!$I$2:$I$175,"Sweden",'Master Data'!$E$2:$E$175,"Kite (Gilead)",'Master Data'!$AI$2:$AI$175,1,'Master Data'!$AJ$2:$AJ$175,"&gt;="&amp;2024)</f>
        <v>0</v>
      </c>
    </row>
    <row r="15" spans="2:7" x14ac:dyDescent="0.2">
      <c r="B15" s="11" t="s">
        <v>202</v>
      </c>
      <c r="C15" s="3">
        <f>COUNTIFS('Master Data'!$I$2:$I$175,"Sweden",'Master Data'!$E$2:$E$175,"Kyowa Kirin")</f>
        <v>2</v>
      </c>
      <c r="D15" s="3">
        <f>COUNTIFS('Master Data'!$I$2:$I$175,"Sweden",'Master Data'!$E$2:$E$175,"Kyowa Kirin",'Master Data'!$AI$2:$AI$175,1)</f>
        <v>2</v>
      </c>
      <c r="E15" s="12">
        <f t="shared" si="0"/>
        <v>1</v>
      </c>
      <c r="F15" s="3">
        <f t="shared" si="1"/>
        <v>0</v>
      </c>
      <c r="G15" s="3">
        <f ca="1">COUNTIFS('Master Data'!$I$2:$I$175,"Sweden",'Master Data'!$E$2:$E$175,"Kyowa Kirin",'Master Data'!$AI$2:$AI$175,1,'Master Data'!$AJ$2:$AJ$175,"&gt;="&amp;2024)</f>
        <v>0</v>
      </c>
    </row>
    <row r="16" spans="2:7" x14ac:dyDescent="0.2">
      <c r="B16" s="11" t="s">
        <v>238</v>
      </c>
      <c r="C16" s="3">
        <f>COUNTIFS('Master Data'!$I$2:$I$175,"Sweden",'Master Data'!$E$2:$E$175,"bluebird bio")</f>
        <v>2</v>
      </c>
      <c r="D16" s="3">
        <f>COUNTIFS('Master Data'!$I$2:$I$175,"Sweden",'Master Data'!$E$2:$E$175,"bluebird bio",'Master Data'!$AI$2:$AI$175,1)</f>
        <v>0</v>
      </c>
      <c r="E16" s="12">
        <f t="shared" si="0"/>
        <v>0</v>
      </c>
      <c r="F16" s="3">
        <f t="shared" si="1"/>
        <v>2</v>
      </c>
      <c r="G16" s="3">
        <f>COUNTIFS('Master Data'!$I$2:$I$175,"Sweden",'Master Data'!$E$2:$E$175,"bluebird bio",'Master Data'!$AI$2:$AI$175,1,'Master Data'!$AJ$2:$AJ$175,"&gt;="&amp;2024)</f>
        <v>0</v>
      </c>
    </row>
    <row r="17" spans="2:7" x14ac:dyDescent="0.2">
      <c r="B17" s="11" t="s">
        <v>293</v>
      </c>
      <c r="C17" s="3">
        <f>COUNTIFS('Master Data'!$I$2:$I$175,"Sweden",'Master Data'!$E$2:$E$175,"BioMarin")</f>
        <v>2</v>
      </c>
      <c r="D17" s="3">
        <f>COUNTIFS('Master Data'!$I$2:$I$175,"Sweden",'Master Data'!$E$2:$E$175,"BioMarin",'Master Data'!$AI$2:$AI$175,1)</f>
        <v>1</v>
      </c>
      <c r="E17" s="12">
        <f t="shared" si="0"/>
        <v>0.5</v>
      </c>
      <c r="F17" s="3">
        <f t="shared" si="1"/>
        <v>1</v>
      </c>
      <c r="G17" s="3">
        <f ca="1">COUNTIFS('Master Data'!$I$2:$I$175,"Sweden",'Master Data'!$E$2:$E$175,"BioMarin",'Master Data'!$AI$2:$AI$175,1,'Master Data'!$AJ$2:$AJ$175,"&gt;="&amp;2024)</f>
        <v>0</v>
      </c>
    </row>
    <row r="18" spans="2:7" x14ac:dyDescent="0.2">
      <c r="B18" s="11" t="s">
        <v>544</v>
      </c>
      <c r="C18" s="3">
        <f>COUNTIFS('Master Data'!$I$2:$I$175,"Sweden",'Master Data'!$E$2:$E$175,"Sanofi")</f>
        <v>2</v>
      </c>
      <c r="D18" s="3">
        <f>COUNTIFS('Master Data'!$I$2:$I$175,"Sweden",'Master Data'!$E$2:$E$175,"Sanofi",'Master Data'!$AI$2:$AI$175,1)</f>
        <v>1</v>
      </c>
      <c r="E18" s="12">
        <f t="shared" si="0"/>
        <v>0.5</v>
      </c>
      <c r="F18" s="3">
        <f t="shared" si="1"/>
        <v>1</v>
      </c>
      <c r="G18" s="3">
        <f ca="1">COUNTIFS('Master Data'!$I$2:$I$175,"Sweden",'Master Data'!$E$2:$E$175,"Sanofi",'Master Data'!$AI$2:$AI$175,1,'Master Data'!$AJ$2:$AJ$175,"&gt;="&amp;2024)</f>
        <v>0</v>
      </c>
    </row>
    <row r="19" spans="2:7" x14ac:dyDescent="0.2">
      <c r="B19" s="11" t="s">
        <v>576</v>
      </c>
      <c r="C19" s="3">
        <f>COUNTIFS('Master Data'!$I$2:$I$175,"Sweden",'Master Data'!$E$2:$E$175,"Takeda")</f>
        <v>2</v>
      </c>
      <c r="D19" s="3">
        <f>COUNTIFS('Master Data'!$I$2:$I$175,"Sweden",'Master Data'!$E$2:$E$175,"Takeda",'Master Data'!$AI$2:$AI$175,1)</f>
        <v>2</v>
      </c>
      <c r="E19" s="12">
        <f t="shared" si="0"/>
        <v>1</v>
      </c>
      <c r="F19" s="3">
        <f t="shared" si="1"/>
        <v>0</v>
      </c>
      <c r="G19" s="3">
        <f ca="1">COUNTIFS('Master Data'!$I$2:$I$175,"Sweden",'Master Data'!$E$2:$E$175,"Takeda",'Master Data'!$AI$2:$AI$175,1,'Master Data'!$AJ$2:$AJ$175,"&gt;="&amp;2024)</f>
        <v>0</v>
      </c>
    </row>
    <row r="20" spans="2:7" x14ac:dyDescent="0.2">
      <c r="B20" s="11" t="s">
        <v>591</v>
      </c>
      <c r="C20" s="3">
        <f>COUNTIFS('Master Data'!$I$2:$I$175,"Sweden",'Master Data'!$E$2:$E$175,"Amicus Therapeutics")</f>
        <v>2</v>
      </c>
      <c r="D20" s="3">
        <f>COUNTIFS('Master Data'!$I$2:$I$175,"Sweden",'Master Data'!$E$2:$E$175,"Amicus Therapeutics",'Master Data'!$AI$2:$AI$175,1)</f>
        <v>2</v>
      </c>
      <c r="E20" s="12">
        <f t="shared" si="0"/>
        <v>1</v>
      </c>
      <c r="F20" s="3">
        <f t="shared" si="1"/>
        <v>0</v>
      </c>
      <c r="G20" s="3">
        <f ca="1">COUNTIFS('Master Data'!$I$2:$I$175,"Sweden",'Master Data'!$E$2:$E$175,"Amicus Therapeutics",'Master Data'!$AI$2:$AI$175,1,'Master Data'!$AJ$2:$AJ$175,"&gt;="&amp;2024)</f>
        <v>0</v>
      </c>
    </row>
    <row r="21" spans="2:7" x14ac:dyDescent="0.2">
      <c r="B21" s="11" t="s">
        <v>989</v>
      </c>
      <c r="C21" s="3">
        <f>COUNTIFS('Master Data'!$I$2:$I$175,"Sweden",'Master Data'!$E$2:$E$175,"Vertex Pharmaceuticals")</f>
        <v>2</v>
      </c>
      <c r="D21" s="3">
        <f>COUNTIFS('Master Data'!$I$2:$I$175,"Sweden",'Master Data'!$E$2:$E$175,"Vertex Pharmaceuticals",'Master Data'!$AI$2:$AI$175,1)</f>
        <v>2</v>
      </c>
      <c r="E21" s="12">
        <f t="shared" si="0"/>
        <v>1</v>
      </c>
      <c r="F21" s="3">
        <f t="shared" si="1"/>
        <v>0</v>
      </c>
      <c r="G21" s="3">
        <f ca="1">COUNTIFS('Master Data'!$I$2:$I$175,"Sweden",'Master Data'!$E$2:$E$175,"Vertex Pharmaceuticals",'Master Data'!$AI$2:$AI$175,1,'Master Data'!$AJ$2:$AJ$175,"&gt;="&amp;2024)</f>
        <v>0</v>
      </c>
    </row>
    <row r="22" spans="2:7" x14ac:dyDescent="0.2">
      <c r="B22" s="11" t="s">
        <v>258</v>
      </c>
      <c r="C22" s="3">
        <f>COUNTIFS('Master Data'!$I$2:$I$175,"Sweden",'Master Data'!$E$2:$E$175,"CSL Behring")</f>
        <v>1</v>
      </c>
      <c r="D22" s="3">
        <f>COUNTIFS('Master Data'!$I$2:$I$175,"Sweden",'Master Data'!$E$2:$E$175,"CSL Behring",'Master Data'!$AI$2:$AI$175,1)</f>
        <v>1</v>
      </c>
      <c r="E22" s="12">
        <f t="shared" si="0"/>
        <v>1</v>
      </c>
      <c r="F22" s="3">
        <f t="shared" si="1"/>
        <v>0</v>
      </c>
      <c r="G22" s="3">
        <f ca="1">COUNTIFS('Master Data'!$I$2:$I$175,"Sweden",'Master Data'!$E$2:$E$175,"CSL Behring",'Master Data'!$AI$2:$AI$175,1,'Master Data'!$AJ$2:$AJ$175,"&gt;="&amp;2024)</f>
        <v>0</v>
      </c>
    </row>
    <row r="23" spans="2:7" x14ac:dyDescent="0.2">
      <c r="B23" s="11" t="s">
        <v>391</v>
      </c>
      <c r="C23" s="3">
        <f>COUNTIFS('Master Data'!$I$2:$I$175,"Sweden",'Master Data'!$E$2:$E$175,"Novo Nordisk")</f>
        <v>1</v>
      </c>
      <c r="D23" s="3">
        <f>COUNTIFS('Master Data'!$I$2:$I$175,"Sweden",'Master Data'!$E$2:$E$175,"Novo Nordisk",'Master Data'!$AI$2:$AI$175,1)</f>
        <v>1</v>
      </c>
      <c r="E23" s="12">
        <f t="shared" si="0"/>
        <v>1</v>
      </c>
      <c r="F23" s="3">
        <f t="shared" si="1"/>
        <v>0</v>
      </c>
      <c r="G23" s="3">
        <f ca="1">COUNTIFS('Master Data'!$I$2:$I$175,"Sweden",'Master Data'!$E$2:$E$175,"Novo Nordisk",'Master Data'!$AI$2:$AI$175,1,'Master Data'!$AJ$2:$AJ$175,"&gt;="&amp;2024)</f>
        <v>0</v>
      </c>
    </row>
    <row r="24" spans="2:7" x14ac:dyDescent="0.2">
      <c r="B24" s="11" t="s">
        <v>422</v>
      </c>
      <c r="C24" s="3">
        <f>COUNTIFS('Master Data'!$I$2:$I$175,"Sweden",'Master Data'!$E$2:$E$175,"Sobi (Swedish Orphan Biovitrum)")</f>
        <v>1</v>
      </c>
      <c r="D24" s="3">
        <f>COUNTIFS('Master Data'!$I$2:$I$175,"Sweden",'Master Data'!$E$2:$E$175,"Sobi (Swedish Orphan Biovitrum)",'Master Data'!$AI$2:$AI$175,1)</f>
        <v>1</v>
      </c>
      <c r="E24" s="12">
        <f t="shared" si="0"/>
        <v>1</v>
      </c>
      <c r="F24" s="3">
        <f t="shared" si="1"/>
        <v>0</v>
      </c>
      <c r="G24" s="3">
        <f ca="1">COUNTIFS('Master Data'!$I$2:$I$175,"Sweden",'Master Data'!$E$2:$E$175,"Sobi (Swedish Orphan Biovitrum)",'Master Data'!$AI$2:$AI$175,1,'Master Data'!$AJ$2:$AJ$175,"&gt;="&amp;2024)</f>
        <v>0</v>
      </c>
    </row>
    <row r="25" spans="2:7" x14ac:dyDescent="0.2">
      <c r="B25" s="11" t="s">
        <v>454</v>
      </c>
      <c r="C25" s="3">
        <f>COUNTIFS('Master Data'!$I$2:$I$175,"Sweden",'Master Data'!$E$2:$E$175,"Krystal Biotech")</f>
        <v>1</v>
      </c>
      <c r="D25" s="3">
        <f>COUNTIFS('Master Data'!$I$2:$I$175,"Sweden",'Master Data'!$E$2:$E$175,"Krystal Biotech",'Master Data'!$AI$2:$AI$175,1)</f>
        <v>0</v>
      </c>
      <c r="E25" s="12">
        <f t="shared" si="0"/>
        <v>0</v>
      </c>
      <c r="F25" s="3">
        <f t="shared" si="1"/>
        <v>1</v>
      </c>
      <c r="G25" s="3">
        <f>COUNTIFS('Master Data'!$I$2:$I$175,"Sweden",'Master Data'!$E$2:$E$175,"Krystal Biotech",'Master Data'!$AI$2:$AI$175,1,'Master Data'!$AJ$2:$AJ$175,"&gt;="&amp;2024)</f>
        <v>0</v>
      </c>
    </row>
    <row r="26" spans="2:7" x14ac:dyDescent="0.2">
      <c r="B26" s="11" t="s">
        <v>671</v>
      </c>
      <c r="C26" s="3">
        <f>COUNTIFS('Master Data'!$I$2:$I$175,"Sweden",'Master Data'!$E$2:$E$175,"Ionis/Akcea")</f>
        <v>1</v>
      </c>
      <c r="D26" s="3">
        <f>COUNTIFS('Master Data'!$I$2:$I$175,"Sweden",'Master Data'!$E$2:$E$175,"Ionis/Akcea",'Master Data'!$AI$2:$AI$175,1)</f>
        <v>1</v>
      </c>
      <c r="E26" s="12">
        <f t="shared" si="0"/>
        <v>1</v>
      </c>
      <c r="F26" s="3">
        <f t="shared" si="1"/>
        <v>0</v>
      </c>
      <c r="G26" s="3">
        <f ca="1">COUNTIFS('Master Data'!$I$2:$I$175,"Sweden",'Master Data'!$E$2:$E$175,"Ionis/Akcea",'Master Data'!$AI$2:$AI$175,1,'Master Data'!$AJ$2:$AJ$175,"&gt;="&amp;2024)</f>
        <v>0</v>
      </c>
    </row>
    <row r="27" spans="2:7" x14ac:dyDescent="0.2">
      <c r="B27" s="11" t="s">
        <v>806</v>
      </c>
      <c r="C27" s="3">
        <f>COUNTIFS('Master Data'!$I$2:$I$175,"Sweden",'Master Data'!$E$2:$E$175,"Amgen")</f>
        <v>1</v>
      </c>
      <c r="D27" s="3">
        <f>COUNTIFS('Master Data'!$I$2:$I$175,"Sweden",'Master Data'!$E$2:$E$175,"Amgen",'Master Data'!$AI$2:$AI$175,1)</f>
        <v>0</v>
      </c>
      <c r="E27" s="12">
        <f t="shared" si="0"/>
        <v>0</v>
      </c>
      <c r="F27" s="3">
        <f t="shared" si="1"/>
        <v>1</v>
      </c>
      <c r="G27" s="3">
        <f>COUNTIFS('Master Data'!$I$2:$I$175,"Sweden",'Master Data'!$E$2:$E$175,"Amgen",'Master Data'!$AI$2:$AI$175,1,'Master Data'!$AJ$2:$AJ$175,"&gt;="&amp;2024)</f>
        <v>0</v>
      </c>
    </row>
    <row r="28" spans="2:7" x14ac:dyDescent="0.2">
      <c r="B28" s="11" t="s">
        <v>897</v>
      </c>
      <c r="C28" s="3">
        <f>COUNTIFS('Master Data'!$I$2:$I$175,"Sweden",'Master Data'!$E$2:$E$175,"Zogenix (UCB)")</f>
        <v>1</v>
      </c>
      <c r="D28" s="3">
        <f>COUNTIFS('Master Data'!$I$2:$I$175,"Sweden",'Master Data'!$E$2:$E$175,"Zogenix (UCB)",'Master Data'!$AI$2:$AI$175,1)</f>
        <v>1</v>
      </c>
      <c r="E28" s="12">
        <f t="shared" si="0"/>
        <v>1</v>
      </c>
      <c r="F28" s="3">
        <f t="shared" si="1"/>
        <v>0</v>
      </c>
      <c r="G28" s="3">
        <f ca="1">COUNTIFS('Master Data'!$I$2:$I$175,"Sweden",'Master Data'!$E$2:$E$175,"Zogenix (UCB)",'Master Data'!$AI$2:$AI$175,1,'Master Data'!$AJ$2:$AJ$175,"&gt;="&amp;2024)</f>
        <v>0</v>
      </c>
    </row>
    <row r="29" spans="2:7" x14ac:dyDescent="0.2">
      <c r="B29" s="11" t="s">
        <v>926</v>
      </c>
      <c r="C29" s="3">
        <f>COUNTIFS('Master Data'!$I$2:$I$175,"Sweden",'Master Data'!$E$2:$E$175,"Biocodex")</f>
        <v>1</v>
      </c>
      <c r="D29" s="3">
        <f>COUNTIFS('Master Data'!$I$2:$I$175,"Sweden",'Master Data'!$E$2:$E$175,"Biocodex",'Master Data'!$AI$2:$AI$175,1)</f>
        <v>1</v>
      </c>
      <c r="E29" s="12">
        <f t="shared" si="0"/>
        <v>1</v>
      </c>
      <c r="F29" s="3">
        <f t="shared" si="1"/>
        <v>0</v>
      </c>
      <c r="G29" s="3">
        <f ca="1">COUNTIFS('Master Data'!$I$2:$I$175,"Sweden",'Master Data'!$E$2:$E$175,"Biocodex",'Master Data'!$AI$2:$AI$175,1,'Master Data'!$AJ$2:$AJ$175,"&gt;="&amp;2024)</f>
        <v>0</v>
      </c>
    </row>
    <row r="30" spans="2:7" x14ac:dyDescent="0.2">
      <c r="B30" s="11" t="s">
        <v>1067</v>
      </c>
      <c r="C30" s="3">
        <f>COUNTIFS('Master Data'!$I$2:$I$175,"Sweden",'Master Data'!$E$2:$E$175,"PTC Therapeutics")</f>
        <v>1</v>
      </c>
      <c r="D30" s="3">
        <f>COUNTIFS('Master Data'!$I$2:$I$175,"Sweden",'Master Data'!$E$2:$E$175,"PTC Therapeutics",'Master Data'!$AI$2:$AI$175,1)</f>
        <v>0</v>
      </c>
      <c r="E30" s="12">
        <f t="shared" si="0"/>
        <v>0</v>
      </c>
      <c r="F30" s="3">
        <f t="shared" si="1"/>
        <v>1</v>
      </c>
      <c r="G30" s="3">
        <f>COUNTIFS('Master Data'!$I$2:$I$175,"Sweden",'Master Data'!$E$2:$E$175,"PTC Therapeutics",'Master Data'!$AI$2:$AI$175,1,'Master Data'!$AJ$2:$AJ$175,"&gt;="&amp;2024)</f>
        <v>0</v>
      </c>
    </row>
    <row r="31" spans="2:7" x14ac:dyDescent="0.2">
      <c r="B31" s="11" t="s">
        <v>1254</v>
      </c>
      <c r="C31" s="3">
        <f>COUNTIFS('Master Data'!$I$2:$I$175,"Sweden",'Master Data'!$E$2:$E$175,"Mirum Pharmaceuticals")</f>
        <v>1</v>
      </c>
      <c r="D31" s="3">
        <f>COUNTIFS('Master Data'!$I$2:$I$175,"Sweden",'Master Data'!$E$2:$E$175,"Mirum Pharmaceuticals",'Master Data'!$AI$2:$AI$175,1)</f>
        <v>1</v>
      </c>
      <c r="E31" s="12">
        <f t="shared" si="0"/>
        <v>1</v>
      </c>
      <c r="F31" s="3">
        <f t="shared" si="1"/>
        <v>0</v>
      </c>
      <c r="G31" s="3">
        <f ca="1">COUNTIFS('Master Data'!$I$2:$I$175,"Sweden",'Master Data'!$E$2:$E$175,"Mirum Pharmaceuticals",'Master Data'!$AI$2:$AI$175,1,'Master Data'!$AJ$2:$AJ$175,"&gt;="&amp;2024)</f>
        <v>0</v>
      </c>
    </row>
    <row r="32" spans="2:7" x14ac:dyDescent="0.2">
      <c r="B32" s="11" t="s">
        <v>1286</v>
      </c>
      <c r="C32" s="3">
        <f>COUNTIFS('Master Data'!$I$2:$I$175,"Sweden",'Master Data'!$E$2:$E$175,"Amryt (Chiesi Group)")</f>
        <v>1</v>
      </c>
      <c r="D32" s="3">
        <f>COUNTIFS('Master Data'!$I$2:$I$175,"Sweden",'Master Data'!$E$2:$E$175,"Amryt (Chiesi Group)",'Master Data'!$AI$2:$AI$175,1)</f>
        <v>1</v>
      </c>
      <c r="E32" s="12">
        <f t="shared" si="0"/>
        <v>1</v>
      </c>
      <c r="F32" s="3">
        <f t="shared" si="1"/>
        <v>0</v>
      </c>
      <c r="G32" s="3">
        <f ca="1">COUNTIFS('Master Data'!$I$2:$I$175,"Sweden",'Master Data'!$E$2:$E$175,"Amryt (Chiesi Group)",'Master Data'!$AI$2:$AI$175,1,'Master Data'!$AJ$2:$AJ$175,"&gt;="&amp;2024)</f>
        <v>0</v>
      </c>
    </row>
    <row r="33" spans="2:7" x14ac:dyDescent="0.2">
      <c r="B33" s="11" t="s">
        <v>1334</v>
      </c>
      <c r="C33" s="3">
        <f>COUNTIFS('Master Data'!$I$2:$I$175,"Sweden",'Master Data'!$E$2:$E$175,"Janssen (Johnson &amp; Johnson)")</f>
        <v>1</v>
      </c>
      <c r="D33" s="3">
        <f>COUNTIFS('Master Data'!$I$2:$I$175,"Sweden",'Master Data'!$E$2:$E$175,"Janssen (Johnson &amp; Johnson)",'Master Data'!$AI$2:$AI$175,1)</f>
        <v>0</v>
      </c>
      <c r="E33" s="12">
        <f t="shared" si="0"/>
        <v>0</v>
      </c>
      <c r="F33" s="3">
        <f t="shared" si="1"/>
        <v>1</v>
      </c>
      <c r="G33" s="3">
        <f>COUNTIFS('Master Data'!$I$2:$I$175,"Sweden",'Master Data'!$E$2:$E$175,"Janssen (Johnson &amp; Johnson)",'Master Data'!$AI$2:$AI$175,1,'Master Data'!$AJ$2:$AJ$175,"&gt;="&amp;2024)</f>
        <v>0</v>
      </c>
    </row>
    <row r="35" spans="2:7" ht="368" x14ac:dyDescent="0.2">
      <c r="B35" s="13" t="s">
        <v>1653</v>
      </c>
    </row>
    <row r="38" spans="2:7" x14ac:dyDescent="0.2">
      <c r="B38" s="9" t="s">
        <v>1654</v>
      </c>
    </row>
    <row r="39" spans="2:7" x14ac:dyDescent="0.2">
      <c r="B39" s="10" t="s">
        <v>1647</v>
      </c>
      <c r="C39" s="10" t="s">
        <v>36</v>
      </c>
      <c r="D39" s="10" t="s">
        <v>1655</v>
      </c>
      <c r="E39" s="10" t="s">
        <v>1656</v>
      </c>
      <c r="F39" s="10" t="s">
        <v>1657</v>
      </c>
      <c r="G39" s="10" t="s">
        <v>1658</v>
      </c>
    </row>
    <row r="40" spans="2:7" x14ac:dyDescent="0.2">
      <c r="B40" s="3" t="s">
        <v>238</v>
      </c>
      <c r="C40" s="3" t="str">
        <f>'Master Data'!A14</f>
        <v>Skysona</v>
      </c>
      <c r="D40" s="3" t="str">
        <f>'Master Data'!C14</f>
        <v>Cerebral adrenoleukodystrophy</v>
      </c>
      <c r="E40" s="3" t="str">
        <f>'Master Data'!M14</f>
        <v>Withdrawn</v>
      </c>
      <c r="F40" s="3" t="str">
        <f>'Master Data'!M15</f>
        <v>Not Evaluated</v>
      </c>
      <c r="G40" s="3" t="str">
        <f>'Master Data'!M16</f>
        <v>Not Evaluated</v>
      </c>
    </row>
    <row r="41" spans="2:7" x14ac:dyDescent="0.2">
      <c r="B41" s="3" t="s">
        <v>293</v>
      </c>
      <c r="C41" s="3" t="str">
        <f>'Master Data'!A20</f>
        <v>Roctavian</v>
      </c>
      <c r="D41" s="3" t="str">
        <f>'Master Data'!C20</f>
        <v>Hemophilia A</v>
      </c>
      <c r="E41" s="3" t="str">
        <f>'Master Data'!M20</f>
        <v>Negative</v>
      </c>
      <c r="F41" s="3" t="str">
        <f>'Master Data'!M21</f>
        <v>Not Evaluated</v>
      </c>
      <c r="G41" s="3" t="str">
        <f>'Master Data'!M22</f>
        <v>Withdrawn</v>
      </c>
    </row>
    <row r="42" spans="2:7" x14ac:dyDescent="0.2">
      <c r="B42" s="3" t="s">
        <v>345</v>
      </c>
      <c r="C42" s="3" t="str">
        <f>'Master Data'!A26</f>
        <v>Beqvez</v>
      </c>
      <c r="D42" s="3" t="str">
        <f>'Master Data'!C26</f>
        <v>Hemophilia B</v>
      </c>
      <c r="E42" s="3" t="str">
        <f>'Master Data'!M26</f>
        <v>Withdrawn</v>
      </c>
      <c r="F42" s="3" t="str">
        <f>'Master Data'!M27</f>
        <v>Withdrawn</v>
      </c>
      <c r="G42" s="3" t="str">
        <f>'Master Data'!M28</f>
        <v>Withdrawn</v>
      </c>
    </row>
    <row r="43" spans="2:7" x14ac:dyDescent="0.2">
      <c r="B43" s="3" t="s">
        <v>454</v>
      </c>
      <c r="C43" s="3" t="str">
        <f>'Master Data'!A38</f>
        <v>Vyjuvek</v>
      </c>
      <c r="D43" s="3" t="str">
        <f>'Master Data'!C38</f>
        <v>Dystrophic epidermolysis bullosa (DEB)</v>
      </c>
      <c r="E43" s="3" t="str">
        <f>'Master Data'!M38</f>
        <v>Ongoing/Pending</v>
      </c>
      <c r="F43" s="3" t="str">
        <f>'Master Data'!M39</f>
        <v>Not Evaluated</v>
      </c>
      <c r="G43" s="3" t="str">
        <f>'Master Data'!M40</f>
        <v>Ongoing/Pending</v>
      </c>
    </row>
    <row r="44" spans="2:7" x14ac:dyDescent="0.2">
      <c r="B44" s="3" t="s">
        <v>480</v>
      </c>
      <c r="C44" s="3" t="str">
        <f>'Master Data'!A41</f>
        <v>Filsuvez</v>
      </c>
      <c r="D44" s="3" t="str">
        <f>'Master Data'!C41</f>
        <v>Dystrophic epidermolysis bullosa (DEB)</v>
      </c>
      <c r="E44" s="3" t="str">
        <f>'Master Data'!M41</f>
        <v>Negative</v>
      </c>
      <c r="F44" s="3" t="str">
        <f>'Master Data'!M42</f>
        <v>Negative</v>
      </c>
      <c r="G44" s="3" t="str">
        <f>'Master Data'!M43</f>
        <v>Ongoing/Pending</v>
      </c>
    </row>
    <row r="45" spans="2:7" x14ac:dyDescent="0.2">
      <c r="B45" s="3" t="s">
        <v>128</v>
      </c>
      <c r="C45" s="3" t="str">
        <f>'Master Data'!A74</f>
        <v>Enspryng</v>
      </c>
      <c r="D45" s="3" t="str">
        <f>'Master Data'!C74</f>
        <v>Neuromyelitis optica spectrum disorder</v>
      </c>
      <c r="E45" s="3" t="str">
        <f>'Master Data'!M74</f>
        <v>Ongoing/Pending</v>
      </c>
      <c r="F45" s="3" t="str">
        <f>'Master Data'!M75</f>
        <v>Negative</v>
      </c>
      <c r="G45" s="3" t="str">
        <f>'Master Data'!M76</f>
        <v>Negative</v>
      </c>
    </row>
    <row r="46" spans="2:7" x14ac:dyDescent="0.2">
      <c r="B46" s="3" t="s">
        <v>806</v>
      </c>
      <c r="C46" s="3" t="str">
        <f>'Master Data'!A77</f>
        <v>Uplizna</v>
      </c>
      <c r="D46" s="3" t="str">
        <f>'Master Data'!C77</f>
        <v>NMOSD</v>
      </c>
      <c r="E46" s="3" t="str">
        <f>'Master Data'!M77</f>
        <v>Not Evaluated</v>
      </c>
      <c r="F46" s="3" t="str">
        <f>'Master Data'!M78</f>
        <v>Negative</v>
      </c>
      <c r="G46" s="3" t="str">
        <f>'Master Data'!M79</f>
        <v>Negative</v>
      </c>
    </row>
    <row r="47" spans="2:7" x14ac:dyDescent="0.2">
      <c r="B47" s="3" t="s">
        <v>825</v>
      </c>
      <c r="C47" s="3" t="str">
        <f>'Master Data'!A80</f>
        <v>Soliris</v>
      </c>
      <c r="D47" s="3" t="str">
        <f>'Master Data'!C80</f>
        <v>Paroxysmal nocturnal hemoglobinuria (PNH)</v>
      </c>
      <c r="E47" s="3" t="str">
        <f>'Master Data'!M80</f>
        <v>Not Evaluated</v>
      </c>
      <c r="F47" s="3" t="str">
        <f>'Master Data'!M81</f>
        <v>Not Evaluated</v>
      </c>
      <c r="G47" s="3" t="str">
        <f>'Master Data'!M82</f>
        <v>Not Evaluated</v>
      </c>
    </row>
    <row r="48" spans="2:7" x14ac:dyDescent="0.2">
      <c r="B48" s="3" t="s">
        <v>825</v>
      </c>
      <c r="C48" s="3" t="str">
        <f>'Master Data'!A83</f>
        <v>Ultomiris</v>
      </c>
      <c r="D48" s="3" t="str">
        <f>'Master Data'!C83</f>
        <v>NMOSD</v>
      </c>
      <c r="E48" s="3" t="str">
        <f>'Master Data'!M83</f>
        <v>Not Evaluated</v>
      </c>
      <c r="F48" s="3" t="str">
        <f>'Master Data'!M84</f>
        <v>Negative</v>
      </c>
      <c r="G48" s="3" t="str">
        <f>'Master Data'!M85</f>
        <v>Ongoing/Pending</v>
      </c>
    </row>
    <row r="49" spans="2:7" x14ac:dyDescent="0.2">
      <c r="B49" s="3" t="s">
        <v>1067</v>
      </c>
      <c r="C49" s="3" t="str">
        <f>'Master Data'!A107</f>
        <v>Translarna</v>
      </c>
      <c r="D49" s="3" t="str">
        <f>'Master Data'!C107</f>
        <v>Duchenne muscular dystrophy</v>
      </c>
      <c r="E49" s="3" t="str">
        <f>'Master Data'!M107</f>
        <v>Withdrawn</v>
      </c>
      <c r="F49" s="3" t="str">
        <f>'Master Data'!M108</f>
        <v>Negative</v>
      </c>
      <c r="G49" s="3" t="str">
        <f>'Master Data'!M109</f>
        <v>Negative</v>
      </c>
    </row>
    <row r="50" spans="2:7" x14ac:dyDescent="0.2">
      <c r="B50" s="3" t="s">
        <v>128</v>
      </c>
      <c r="C50" s="3" t="str">
        <f>'Master Data'!A110</f>
        <v>Elevidys</v>
      </c>
      <c r="D50" s="3" t="str">
        <f>'Master Data'!C110</f>
        <v>Duchenne muscular dystrophy</v>
      </c>
      <c r="E50" s="3" t="str">
        <f>'Master Data'!M110</f>
        <v>Ongoing/Pending</v>
      </c>
      <c r="F50" s="3" t="str">
        <f>'Master Data'!M111</f>
        <v>Withdrawn</v>
      </c>
      <c r="G50" s="3" t="str">
        <f>'Master Data'!M112</f>
        <v>Ongoing/Pending</v>
      </c>
    </row>
    <row r="51" spans="2:7" x14ac:dyDescent="0.2">
      <c r="B51" s="3" t="s">
        <v>166</v>
      </c>
      <c r="C51" s="3" t="str">
        <f>'Master Data'!A113</f>
        <v>Skyclarys</v>
      </c>
      <c r="D51" s="3" t="str">
        <f>'Master Data'!C113</f>
        <v>Friedreich ataxia</v>
      </c>
      <c r="E51" s="3" t="str">
        <f>'Master Data'!M113</f>
        <v>Negative</v>
      </c>
      <c r="F51" s="3" t="str">
        <f>'Master Data'!M114</f>
        <v>Negative</v>
      </c>
      <c r="G51" s="3" t="str">
        <f>'Master Data'!M115</f>
        <v>Negative</v>
      </c>
    </row>
    <row r="52" spans="2:7" x14ac:dyDescent="0.2">
      <c r="B52" s="3" t="s">
        <v>544</v>
      </c>
      <c r="C52" s="3" t="str">
        <f>'Master Data'!A122</f>
        <v>Xenpozyme</v>
      </c>
      <c r="D52" s="3" t="str">
        <f>'Master Data'!C122</f>
        <v>Acid sphingomyelinase deficiency</v>
      </c>
      <c r="E52" s="3" t="str">
        <f>'Master Data'!M122</f>
        <v>Ongoing/Pending</v>
      </c>
      <c r="F52" s="3" t="str">
        <f>'Master Data'!M123</f>
        <v>Not Evaluated</v>
      </c>
      <c r="G52" s="3" t="str">
        <f>'Master Data'!M124</f>
        <v>Not Evaluated</v>
      </c>
    </row>
    <row r="53" spans="2:7" x14ac:dyDescent="0.2">
      <c r="B53" s="3" t="s">
        <v>238</v>
      </c>
      <c r="C53" s="3" t="str">
        <f>'Master Data'!A134</f>
        <v>Zynteglo</v>
      </c>
      <c r="D53" s="3" t="str">
        <f>'Master Data'!C134</f>
        <v>Beta-thalassemia</v>
      </c>
      <c r="E53" s="3" t="str">
        <f>'Master Data'!M134</f>
        <v>Negative</v>
      </c>
      <c r="F53" s="3" t="str">
        <f>'Master Data'!M135</f>
        <v>Negative</v>
      </c>
      <c r="G53" s="3" t="str">
        <f>'Master Data'!M136</f>
        <v>Negative</v>
      </c>
    </row>
    <row r="54" spans="2:7" x14ac:dyDescent="0.2">
      <c r="B54" s="3" t="s">
        <v>1334</v>
      </c>
      <c r="C54" s="3" t="str">
        <f>'Master Data'!A137</f>
        <v>Carvykti</v>
      </c>
      <c r="D54" s="3" t="str">
        <f>'Master Data'!C137</f>
        <v>Relapsed/refractory multiple myeloma</v>
      </c>
      <c r="E54" s="3" t="str">
        <f>'Master Data'!M137</f>
        <v>Not Evaluated</v>
      </c>
      <c r="F54" s="3" t="str">
        <f>'Master Data'!M138</f>
        <v>Not Evaluated</v>
      </c>
      <c r="G54" s="3" t="str">
        <f>'Master Data'!M139</f>
        <v>Not Evaluated</v>
      </c>
    </row>
    <row r="55" spans="2:7" x14ac:dyDescent="0.2">
      <c r="B55" s="3" t="s">
        <v>825</v>
      </c>
      <c r="C55" s="3" t="str">
        <f>'Master Data'!A146</f>
        <v>Soliris</v>
      </c>
      <c r="D55" s="3" t="str">
        <f>'Master Data'!C146</f>
        <v>Atypical hemolytic uremic syndrome (aHUS)</v>
      </c>
      <c r="E55" s="3" t="str">
        <f>'Master Data'!M146</f>
        <v>Not Evaluated</v>
      </c>
      <c r="F55" s="3" t="str">
        <f>'Master Data'!M147</f>
        <v>Not Evaluated</v>
      </c>
      <c r="G55" s="3" t="str">
        <f>'Master Data'!M148</f>
        <v>Not Evaluated</v>
      </c>
    </row>
    <row r="56" spans="2:7" x14ac:dyDescent="0.2">
      <c r="B56" s="3" t="s">
        <v>825</v>
      </c>
      <c r="C56" s="3" t="str">
        <f>'Master Data'!A149</f>
        <v>Soliris</v>
      </c>
      <c r="D56" s="3" t="str">
        <f>'Master Data'!C149</f>
        <v>Neuromyelitis optica spectrum disorder (NMOSD), AQP4-antibody positive</v>
      </c>
      <c r="E56" s="3" t="str">
        <f>'Master Data'!M149</f>
        <v>Not Evaluated</v>
      </c>
      <c r="F56" s="3" t="str">
        <f>'Master Data'!M150</f>
        <v>Negative</v>
      </c>
      <c r="G56" s="3" t="str">
        <f>'Master Data'!M151</f>
        <v>Not Evaluated</v>
      </c>
    </row>
    <row r="57" spans="2:7" x14ac:dyDescent="0.2">
      <c r="B57" s="3" t="s">
        <v>825</v>
      </c>
      <c r="C57" s="3" t="str">
        <f>'Master Data'!A152</f>
        <v>Soliris</v>
      </c>
      <c r="D57" s="3" t="str">
        <f>'Master Data'!C152</f>
        <v>Generalised myasthenia gravis (gMG), treatment-refractory</v>
      </c>
      <c r="E57" s="3" t="str">
        <f>'Master Data'!M152</f>
        <v>Not Evaluated</v>
      </c>
      <c r="F57" s="3" t="str">
        <f>'Master Data'!M153</f>
        <v>Not Evaluated</v>
      </c>
      <c r="G57" s="3" t="str">
        <f>'Master Data'!M154</f>
        <v>Not Evaluated</v>
      </c>
    </row>
    <row r="58" spans="2:7" x14ac:dyDescent="0.2">
      <c r="B58" s="3" t="s">
        <v>76</v>
      </c>
      <c r="C58" s="3" t="str">
        <f>'Master Data'!A155</f>
        <v>Kymriah</v>
      </c>
      <c r="D58" s="3" t="str">
        <f>'Master Data'!C155</f>
        <v>Relapsed/refractory diffuse large B-cell lymphoma (DLBCL)</v>
      </c>
      <c r="E58" s="3" t="str">
        <f>'Master Data'!M155</f>
        <v>Negative</v>
      </c>
      <c r="F58" s="3" t="str">
        <f>'Master Data'!M156</f>
        <v>Negative</v>
      </c>
      <c r="G58" s="3" t="str">
        <f>'Master Data'!M157</f>
        <v>Not Evaluated</v>
      </c>
    </row>
    <row r="59" spans="2:7" x14ac:dyDescent="0.2">
      <c r="B59" s="3" t="s">
        <v>76</v>
      </c>
      <c r="C59" s="3" t="str">
        <f>'Master Data'!A158</f>
        <v>Kymriah</v>
      </c>
      <c r="D59" s="3" t="str">
        <f>'Master Data'!C158</f>
        <v>Follicular lymphoma (FL)</v>
      </c>
      <c r="E59" s="3" t="str">
        <f>'Master Data'!M158</f>
        <v>Negative</v>
      </c>
      <c r="F59" s="3" t="str">
        <f>'Master Data'!M159</f>
        <v>Not Evaluated</v>
      </c>
      <c r="G59" s="3" t="str">
        <f>'Master Data'!M160</f>
        <v>Not Evaluated</v>
      </c>
    </row>
    <row r="60" spans="2:7" x14ac:dyDescent="0.2">
      <c r="B60" s="3" t="s">
        <v>1400</v>
      </c>
      <c r="C60" s="3" t="str">
        <f>'Master Data'!A164</f>
        <v>Yescarta</v>
      </c>
      <c r="D60" s="3" t="str">
        <f>'Master Data'!C164</f>
        <v>Follicular lymphoma (FL), 3rd line or later</v>
      </c>
      <c r="E60" s="3" t="str">
        <f>'Master Data'!M164</f>
        <v>Not Evaluated</v>
      </c>
      <c r="F60" s="3" t="str">
        <f>'Master Data'!M165</f>
        <v>Not Evaluated</v>
      </c>
      <c r="G60" s="3" t="str">
        <f>'Master Data'!M166</f>
        <v>Not Evaluated</v>
      </c>
    </row>
    <row r="62" spans="2:7" ht="143" x14ac:dyDescent="0.2">
      <c r="B62" s="13" t="s">
        <v>1659</v>
      </c>
    </row>
  </sheetData>
  <pageMargins left="0.75" right="0.75" top="1" bottom="1" header="0.5" footer="0.5"/>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M30"/>
  <sheetViews>
    <sheetView showGridLines="0" workbookViewId="0"/>
  </sheetViews>
  <sheetFormatPr baseColWidth="10" defaultColWidth="8.83203125" defaultRowHeight="15" x14ac:dyDescent="0.2"/>
  <cols>
    <col min="1" max="1" width="3" customWidth="1"/>
    <col min="2" max="2" width="34" customWidth="1"/>
    <col min="3" max="15" width="14" customWidth="1"/>
  </cols>
  <sheetData>
    <row r="2" spans="2:13" ht="18" x14ac:dyDescent="0.2">
      <c r="B2" s="4" t="s">
        <v>1660</v>
      </c>
    </row>
    <row r="3" spans="2:13" ht="99" x14ac:dyDescent="0.2">
      <c r="B3" s="8" t="s">
        <v>1661</v>
      </c>
    </row>
    <row r="5" spans="2:13" x14ac:dyDescent="0.2">
      <c r="B5" s="9" t="s">
        <v>1662</v>
      </c>
    </row>
    <row r="6" spans="2:13" ht="28" x14ac:dyDescent="0.2">
      <c r="B6" s="10" t="s">
        <v>1663</v>
      </c>
      <c r="C6" s="10" t="s">
        <v>102</v>
      </c>
      <c r="D6" s="10" t="s">
        <v>133</v>
      </c>
      <c r="E6" s="10" t="s">
        <v>84</v>
      </c>
      <c r="F6" s="10" t="s">
        <v>242</v>
      </c>
      <c r="G6" s="10" t="s">
        <v>363</v>
      </c>
      <c r="H6" s="10" t="s">
        <v>218</v>
      </c>
      <c r="I6" s="10" t="s">
        <v>1637</v>
      </c>
      <c r="J6" s="10" t="s">
        <v>1638</v>
      </c>
      <c r="K6" s="10" t="s">
        <v>1664</v>
      </c>
      <c r="L6" s="10" t="s">
        <v>1665</v>
      </c>
      <c r="M6" s="10" t="s">
        <v>1666</v>
      </c>
    </row>
    <row r="7" spans="2:13" x14ac:dyDescent="0.2">
      <c r="B7" s="11" t="s">
        <v>1667</v>
      </c>
      <c r="C7" s="3">
        <f>COUNTIFS('Master Data'!$T$2:$T$175,"RCT",'Master Data'!$M$2:$M$175,"Positive")</f>
        <v>0</v>
      </c>
      <c r="D7" s="3">
        <f>COUNTIFS('Master Data'!$T$2:$T$175,"RCT",'Master Data'!$M$2:$M$175,"Restricted Positive")</f>
        <v>0</v>
      </c>
      <c r="E7" s="3">
        <f>COUNTIFS('Master Data'!$T$2:$T$175,"RCT",'Master Data'!$M$2:$M$175,"Negative")</f>
        <v>0</v>
      </c>
      <c r="F7" s="3">
        <f>COUNTIFS('Master Data'!$T$2:$T$175,"RCT",'Master Data'!$M$2:$M$175,"Withdrawn")</f>
        <v>0</v>
      </c>
      <c r="G7" s="3">
        <f>COUNTIFS('Master Data'!$T$2:$T$175,"RCT",'Master Data'!$M$2:$M$175,"Ongoing/Pending")</f>
        <v>0</v>
      </c>
      <c r="H7" s="3">
        <f>COUNTIFS('Master Data'!$T$2:$T$175,"RCT",'Master Data'!$M$2:$M$175,"Not Evaluated")</f>
        <v>0</v>
      </c>
      <c r="I7" s="3">
        <f t="shared" ref="I7:I12" si="0">SUM(C7:H7)-H7</f>
        <v>0</v>
      </c>
      <c r="J7" s="3">
        <f t="shared" ref="J7:J12" si="1">C7+D7</f>
        <v>0</v>
      </c>
      <c r="K7" s="12" t="str">
        <f t="shared" ref="K7:K12" si="2">IF(I7=0,"",(J7/I7))</f>
        <v/>
      </c>
      <c r="L7" s="12" t="str">
        <f t="shared" ref="L7:L12" si="3">IF(I7=0,"",MAX(0,(((J7/I7)+1.959963985^2/(2*I7))/(1+1.959963985^2/I7))-((1.959963985*SQRT(((J7/I7)*(1-(J7/I7))/I7)+(1.959963985^2/(4*I7^2))))/(1+1.959963985^2/I7))))</f>
        <v/>
      </c>
      <c r="M7" s="12" t="str">
        <f t="shared" ref="M7:M12" si="4">IF(I7=0,"",MIN(1,(((J7/I7)+1.959963985^2/(2*I7))/(1+1.959963985^2/I7))+((1.959963985*SQRT(((J7/I7)*(1-(J7/I7))/I7)+(1.959963985^2/(4*I7^2))))/(1+1.959963985^2/I7))))</f>
        <v/>
      </c>
    </row>
    <row r="8" spans="2:13" x14ac:dyDescent="0.2">
      <c r="B8" s="11" t="s">
        <v>1668</v>
      </c>
      <c r="C8" s="3">
        <f>COUNTIFS('Master Data'!$T$2:$T$175,"Single-arm / open-label",'Master Data'!$M$2:$M$175,"Positive")</f>
        <v>0</v>
      </c>
      <c r="D8" s="3">
        <f>COUNTIFS('Master Data'!$T$2:$T$175,"Single-arm / open-label",'Master Data'!$M$2:$M$175,"Restricted Positive")</f>
        <v>0</v>
      </c>
      <c r="E8" s="3">
        <f>COUNTIFS('Master Data'!$T$2:$T$175,"Single-arm / open-label",'Master Data'!$M$2:$M$175,"Negative")</f>
        <v>0</v>
      </c>
      <c r="F8" s="3">
        <f>COUNTIFS('Master Data'!$T$2:$T$175,"Single-arm / open-label",'Master Data'!$M$2:$M$175,"Withdrawn")</f>
        <v>0</v>
      </c>
      <c r="G8" s="3">
        <f>COUNTIFS('Master Data'!$T$2:$T$175,"Single-arm / open-label",'Master Data'!$M$2:$M$175,"Ongoing/Pending")</f>
        <v>0</v>
      </c>
      <c r="H8" s="3">
        <f>COUNTIFS('Master Data'!$T$2:$T$175,"Single-arm / open-label",'Master Data'!$M$2:$M$175,"Not Evaluated")</f>
        <v>0</v>
      </c>
      <c r="I8" s="3">
        <f t="shared" si="0"/>
        <v>0</v>
      </c>
      <c r="J8" s="3">
        <f t="shared" si="1"/>
        <v>0</v>
      </c>
      <c r="K8" s="12" t="str">
        <f t="shared" si="2"/>
        <v/>
      </c>
      <c r="L8" s="12" t="str">
        <f t="shared" si="3"/>
        <v/>
      </c>
      <c r="M8" s="12" t="str">
        <f t="shared" si="4"/>
        <v/>
      </c>
    </row>
    <row r="9" spans="2:13" x14ac:dyDescent="0.2">
      <c r="B9" s="11" t="s">
        <v>119</v>
      </c>
      <c r="C9" s="3">
        <f>COUNTIFS('Master Data'!$T$2:$T$175,"Real-world / registry / natural history",'Master Data'!$M$2:$M$175,"Positive")</f>
        <v>2</v>
      </c>
      <c r="D9" s="3">
        <f>COUNTIFS('Master Data'!$T$2:$T$175,"Real-world / registry / natural history",'Master Data'!$M$2:$M$175,"Restricted Positive")</f>
        <v>2</v>
      </c>
      <c r="E9" s="3">
        <f>COUNTIFS('Master Data'!$T$2:$T$175,"Real-world / registry / natural history",'Master Data'!$M$2:$M$175,"Negative")</f>
        <v>0</v>
      </c>
      <c r="F9" s="3">
        <f>COUNTIFS('Master Data'!$T$2:$T$175,"Real-world / registry / natural history",'Master Data'!$M$2:$M$175,"Withdrawn")</f>
        <v>0</v>
      </c>
      <c r="G9" s="3">
        <f>COUNTIFS('Master Data'!$T$2:$T$175,"Real-world / registry / natural history",'Master Data'!$M$2:$M$175,"Ongoing/Pending")</f>
        <v>0</v>
      </c>
      <c r="H9" s="3">
        <f>COUNTIFS('Master Data'!$T$2:$T$175,"Real-world / registry / natural history",'Master Data'!$M$2:$M$175,"Not Evaluated")</f>
        <v>0</v>
      </c>
      <c r="I9" s="3">
        <f t="shared" si="0"/>
        <v>4</v>
      </c>
      <c r="J9" s="3">
        <f t="shared" si="1"/>
        <v>4</v>
      </c>
      <c r="K9" s="12">
        <f t="shared" si="2"/>
        <v>1</v>
      </c>
      <c r="L9" s="12">
        <f t="shared" si="3"/>
        <v>0.51010916342811541</v>
      </c>
      <c r="M9" s="12">
        <f t="shared" si="4"/>
        <v>1</v>
      </c>
    </row>
    <row r="10" spans="2:13" x14ac:dyDescent="0.2">
      <c r="B10" s="11" t="s">
        <v>1669</v>
      </c>
      <c r="C10" s="3">
        <f>COUNTIFS('Master Data'!$T$2:$T$175,"Indirect comparison / MAIC",'Master Data'!$M$2:$M$175,"Positive")</f>
        <v>0</v>
      </c>
      <c r="D10" s="3">
        <f>COUNTIFS('Master Data'!$T$2:$T$175,"Indirect comparison / MAIC",'Master Data'!$M$2:$M$175,"Restricted Positive")</f>
        <v>0</v>
      </c>
      <c r="E10" s="3">
        <f>COUNTIFS('Master Data'!$T$2:$T$175,"Indirect comparison / MAIC",'Master Data'!$M$2:$M$175,"Negative")</f>
        <v>0</v>
      </c>
      <c r="F10" s="3">
        <f>COUNTIFS('Master Data'!$T$2:$T$175,"Indirect comparison / MAIC",'Master Data'!$M$2:$M$175,"Withdrawn")</f>
        <v>0</v>
      </c>
      <c r="G10" s="3">
        <f>COUNTIFS('Master Data'!$T$2:$T$175,"Indirect comparison / MAIC",'Master Data'!$M$2:$M$175,"Ongoing/Pending")</f>
        <v>0</v>
      </c>
      <c r="H10" s="3">
        <f>COUNTIFS('Master Data'!$T$2:$T$175,"Indirect comparison / MAIC",'Master Data'!$M$2:$M$175,"Not Evaluated")</f>
        <v>0</v>
      </c>
      <c r="I10" s="3">
        <f t="shared" si="0"/>
        <v>0</v>
      </c>
      <c r="J10" s="3">
        <f t="shared" si="1"/>
        <v>0</v>
      </c>
      <c r="K10" s="12" t="str">
        <f t="shared" si="2"/>
        <v/>
      </c>
      <c r="L10" s="12" t="str">
        <f t="shared" si="3"/>
        <v/>
      </c>
      <c r="M10" s="12" t="str">
        <f t="shared" si="4"/>
        <v/>
      </c>
    </row>
    <row r="11" spans="2:13" x14ac:dyDescent="0.2">
      <c r="B11" s="11" t="s">
        <v>1670</v>
      </c>
      <c r="C11" s="3">
        <f>COUNTIFS('Master Data'!$T$2:$T$175,"Case series/report",'Master Data'!$M$2:$M$175,"Positive")</f>
        <v>0</v>
      </c>
      <c r="D11" s="3">
        <f>COUNTIFS('Master Data'!$T$2:$T$175,"Case series/report",'Master Data'!$M$2:$M$175,"Restricted Positive")</f>
        <v>0</v>
      </c>
      <c r="E11" s="3">
        <f>COUNTIFS('Master Data'!$T$2:$T$175,"Case series/report",'Master Data'!$M$2:$M$175,"Negative")</f>
        <v>0</v>
      </c>
      <c r="F11" s="3">
        <f>COUNTIFS('Master Data'!$T$2:$T$175,"Case series/report",'Master Data'!$M$2:$M$175,"Withdrawn")</f>
        <v>0</v>
      </c>
      <c r="G11" s="3">
        <f>COUNTIFS('Master Data'!$T$2:$T$175,"Case series/report",'Master Data'!$M$2:$M$175,"Ongoing/Pending")</f>
        <v>0</v>
      </c>
      <c r="H11" s="3">
        <f>COUNTIFS('Master Data'!$T$2:$T$175,"Case series/report",'Master Data'!$M$2:$M$175,"Not Evaluated")</f>
        <v>0</v>
      </c>
      <c r="I11" s="3">
        <f t="shared" si="0"/>
        <v>0</v>
      </c>
      <c r="J11" s="3">
        <f t="shared" si="1"/>
        <v>0</v>
      </c>
      <c r="K11" s="12" t="str">
        <f t="shared" si="2"/>
        <v/>
      </c>
      <c r="L11" s="12" t="str">
        <f t="shared" si="3"/>
        <v/>
      </c>
      <c r="M11" s="12" t="str">
        <f t="shared" si="4"/>
        <v/>
      </c>
    </row>
    <row r="12" spans="2:13" x14ac:dyDescent="0.2">
      <c r="B12" s="11" t="s">
        <v>90</v>
      </c>
      <c r="C12" s="3">
        <f>COUNTIFS('Master Data'!$T$2:$T$175,"Not specified / unclear",'Master Data'!$M$2:$M$175,"Positive")</f>
        <v>33</v>
      </c>
      <c r="D12" s="3">
        <f>COUNTIFS('Master Data'!$T$2:$T$175,"Not specified / unclear",'Master Data'!$M$2:$M$175,"Restricted Positive")</f>
        <v>34</v>
      </c>
      <c r="E12" s="3">
        <f>COUNTIFS('Master Data'!$T$2:$T$175,"Not specified / unclear",'Master Data'!$M$2:$M$175,"Negative")</f>
        <v>38</v>
      </c>
      <c r="F12" s="3">
        <f>COUNTIFS('Master Data'!$T$2:$T$175,"Not specified / unclear",'Master Data'!$M$2:$M$175,"Withdrawn")</f>
        <v>8</v>
      </c>
      <c r="G12" s="3">
        <f>COUNTIFS('Master Data'!$T$2:$T$175,"Not specified / unclear",'Master Data'!$M$2:$M$175,"Ongoing/Pending")</f>
        <v>15</v>
      </c>
      <c r="H12" s="3">
        <f>COUNTIFS('Master Data'!$T$2:$T$175,"Not specified / unclear",'Master Data'!$M$2:$M$175,"Not Evaluated")</f>
        <v>42</v>
      </c>
      <c r="I12" s="3">
        <f t="shared" si="0"/>
        <v>128</v>
      </c>
      <c r="J12" s="3">
        <f t="shared" si="1"/>
        <v>67</v>
      </c>
      <c r="K12" s="12">
        <f t="shared" si="2"/>
        <v>0.5234375</v>
      </c>
      <c r="L12" s="12">
        <f t="shared" si="3"/>
        <v>0.43749793122075703</v>
      </c>
      <c r="M12" s="12">
        <f t="shared" si="4"/>
        <v>0.6080112739532999</v>
      </c>
    </row>
    <row r="14" spans="2:13" ht="169" x14ac:dyDescent="0.2">
      <c r="B14" s="13" t="s">
        <v>1671</v>
      </c>
    </row>
    <row r="16" spans="2:13" x14ac:dyDescent="0.2">
      <c r="B16" s="9" t="s">
        <v>1672</v>
      </c>
    </row>
    <row r="17" spans="2:5" x14ac:dyDescent="0.2">
      <c r="B17" s="10" t="s">
        <v>1663</v>
      </c>
      <c r="C17" s="10" t="s">
        <v>80</v>
      </c>
      <c r="D17" s="10" t="s">
        <v>99</v>
      </c>
      <c r="E17" s="10" t="s">
        <v>113</v>
      </c>
    </row>
    <row r="18" spans="2:5" x14ac:dyDescent="0.2">
      <c r="B18" s="11" t="s">
        <v>1667</v>
      </c>
      <c r="C18" s="12" t="str">
        <f>IF(COUNTIFS('Master Data'!$T$2:$T$175,"RCT",'Master Data'!$I$2:$I$175,"Sweden",'Master Data'!$AD$2:$AD$175,1)=0,"n/a",COUNTIFS('Master Data'!$T$2:$T$175,"RCT",'Master Data'!$I$2:$I$175,"Sweden",'Master Data'!$AC$2:$AC$175,1)/COUNTIFS('Master Data'!$T$2:$T$175,"RCT",'Master Data'!$I$2:$I$175,"Sweden",'Master Data'!$AD$2:$AD$175,1))</f>
        <v>n/a</v>
      </c>
      <c r="D18" s="12" t="str">
        <f>IF(COUNTIFS('Master Data'!$T$2:$T$175,"RCT",'Master Data'!$I$2:$I$175,"Denmark",'Master Data'!$AD$2:$AD$175,1)=0,"n/a",COUNTIFS('Master Data'!$T$2:$T$175,"RCT",'Master Data'!$I$2:$I$175,"Denmark",'Master Data'!$AC$2:$AC$175,1)/COUNTIFS('Master Data'!$T$2:$T$175,"RCT",'Master Data'!$I$2:$I$175,"Denmark",'Master Data'!$AD$2:$AD$175,1))</f>
        <v>n/a</v>
      </c>
      <c r="E18" s="12" t="str">
        <f>IF(COUNTIFS('Master Data'!$T$2:$T$175,"RCT",'Master Data'!$I$2:$I$175,"Norway",'Master Data'!$AD$2:$AD$175,1)=0,"n/a",COUNTIFS('Master Data'!$T$2:$T$175,"RCT",'Master Data'!$I$2:$I$175,"Norway",'Master Data'!$AC$2:$AC$175,1)/COUNTIFS('Master Data'!$T$2:$T$175,"RCT",'Master Data'!$I$2:$I$175,"Norway",'Master Data'!$AD$2:$AD$175,1))</f>
        <v>n/a</v>
      </c>
    </row>
    <row r="19" spans="2:5" x14ac:dyDescent="0.2">
      <c r="B19" s="11" t="s">
        <v>1668</v>
      </c>
      <c r="C19" s="12" t="str">
        <f>IF(COUNTIFS('Master Data'!$T$2:$T$175,"Single-arm / open-label",'Master Data'!$I$2:$I$175,"Sweden",'Master Data'!$AD$2:$AD$175,1)=0,"n/a",COUNTIFS('Master Data'!$T$2:$T$175,"Single-arm / open-label",'Master Data'!$I$2:$I$175,"Sweden",'Master Data'!$AC$2:$AC$175,1)/COUNTIFS('Master Data'!$T$2:$T$175,"Single-arm / open-label",'Master Data'!$I$2:$I$175,"Sweden",'Master Data'!$AD$2:$AD$175,1))</f>
        <v>n/a</v>
      </c>
      <c r="D19" s="12" t="str">
        <f>IF(COUNTIFS('Master Data'!$T$2:$T$175,"Single-arm / open-label",'Master Data'!$I$2:$I$175,"Denmark",'Master Data'!$AD$2:$AD$175,1)=0,"n/a",COUNTIFS('Master Data'!$T$2:$T$175,"Single-arm / open-label",'Master Data'!$I$2:$I$175,"Denmark",'Master Data'!$AC$2:$AC$175,1)/COUNTIFS('Master Data'!$T$2:$T$175,"Single-arm / open-label",'Master Data'!$I$2:$I$175,"Denmark",'Master Data'!$AD$2:$AD$175,1))</f>
        <v>n/a</v>
      </c>
      <c r="E19" s="12" t="str">
        <f>IF(COUNTIFS('Master Data'!$T$2:$T$175,"Single-arm / open-label",'Master Data'!$I$2:$I$175,"Norway",'Master Data'!$AD$2:$AD$175,1)=0,"n/a",COUNTIFS('Master Data'!$T$2:$T$175,"Single-arm / open-label",'Master Data'!$I$2:$I$175,"Norway",'Master Data'!$AC$2:$AC$175,1)/COUNTIFS('Master Data'!$T$2:$T$175,"Single-arm / open-label",'Master Data'!$I$2:$I$175,"Norway",'Master Data'!$AD$2:$AD$175,1))</f>
        <v>n/a</v>
      </c>
    </row>
    <row r="20" spans="2:5" x14ac:dyDescent="0.2">
      <c r="B20" s="11" t="s">
        <v>119</v>
      </c>
      <c r="C20" s="12">
        <f>IF(COUNTIFS('Master Data'!$T$2:$T$175,"Real-world / registry / natural history",'Master Data'!$I$2:$I$175,"Sweden",'Master Data'!$AD$2:$AD$175,1)=0,"n/a",COUNTIFS('Master Data'!$T$2:$T$175,"Real-world / registry / natural history",'Master Data'!$I$2:$I$175,"Sweden",'Master Data'!$AC$2:$AC$175,1)/COUNTIFS('Master Data'!$T$2:$T$175,"Real-world / registry / natural history",'Master Data'!$I$2:$I$175,"Sweden",'Master Data'!$AD$2:$AD$175,1))</f>
        <v>1</v>
      </c>
      <c r="D20" s="12" t="str">
        <f>IF(COUNTIFS('Master Data'!$T$2:$T$175,"Real-world / registry / natural history",'Master Data'!$I$2:$I$175,"Denmark",'Master Data'!$AD$2:$AD$175,1)=0,"n/a",COUNTIFS('Master Data'!$T$2:$T$175,"Real-world / registry / natural history",'Master Data'!$I$2:$I$175,"Denmark",'Master Data'!$AC$2:$AC$175,1)/COUNTIFS('Master Data'!$T$2:$T$175,"Real-world / registry / natural history",'Master Data'!$I$2:$I$175,"Denmark",'Master Data'!$AD$2:$AD$175,1))</f>
        <v>n/a</v>
      </c>
      <c r="E20" s="12">
        <f>IF(COUNTIFS('Master Data'!$T$2:$T$175,"Real-world / registry / natural history",'Master Data'!$I$2:$I$175,"Norway",'Master Data'!$AD$2:$AD$175,1)=0,"n/a",COUNTIFS('Master Data'!$T$2:$T$175,"Real-world / registry / natural history",'Master Data'!$I$2:$I$175,"Norway",'Master Data'!$AC$2:$AC$175,1)/COUNTIFS('Master Data'!$T$2:$T$175,"Real-world / registry / natural history",'Master Data'!$I$2:$I$175,"Norway",'Master Data'!$AD$2:$AD$175,1))</f>
        <v>1</v>
      </c>
    </row>
    <row r="21" spans="2:5" x14ac:dyDescent="0.2">
      <c r="B21" s="11" t="s">
        <v>1669</v>
      </c>
      <c r="C21" s="12" t="str">
        <f>IF(COUNTIFS('Master Data'!$T$2:$T$175,"Indirect comparison / MAIC",'Master Data'!$I$2:$I$175,"Sweden",'Master Data'!$AD$2:$AD$175,1)=0,"n/a",COUNTIFS('Master Data'!$T$2:$T$175,"Indirect comparison / MAIC",'Master Data'!$I$2:$I$175,"Sweden",'Master Data'!$AC$2:$AC$175,1)/COUNTIFS('Master Data'!$T$2:$T$175,"Indirect comparison / MAIC",'Master Data'!$I$2:$I$175,"Sweden",'Master Data'!$AD$2:$AD$175,1))</f>
        <v>n/a</v>
      </c>
      <c r="D21" s="12" t="str">
        <f>IF(COUNTIFS('Master Data'!$T$2:$T$175,"Indirect comparison / MAIC",'Master Data'!$I$2:$I$175,"Denmark",'Master Data'!$AD$2:$AD$175,1)=0,"n/a",COUNTIFS('Master Data'!$T$2:$T$175,"Indirect comparison / MAIC",'Master Data'!$I$2:$I$175,"Denmark",'Master Data'!$AC$2:$AC$175,1)/COUNTIFS('Master Data'!$T$2:$T$175,"Indirect comparison / MAIC",'Master Data'!$I$2:$I$175,"Denmark",'Master Data'!$AD$2:$AD$175,1))</f>
        <v>n/a</v>
      </c>
      <c r="E21" s="12" t="str">
        <f>IF(COUNTIFS('Master Data'!$T$2:$T$175,"Indirect comparison / MAIC",'Master Data'!$I$2:$I$175,"Norway",'Master Data'!$AD$2:$AD$175,1)=0,"n/a",COUNTIFS('Master Data'!$T$2:$T$175,"Indirect comparison / MAIC",'Master Data'!$I$2:$I$175,"Norway",'Master Data'!$AC$2:$AC$175,1)/COUNTIFS('Master Data'!$T$2:$T$175,"Indirect comparison / MAIC",'Master Data'!$I$2:$I$175,"Norway",'Master Data'!$AD$2:$AD$175,1))</f>
        <v>n/a</v>
      </c>
    </row>
    <row r="22" spans="2:5" x14ac:dyDescent="0.2">
      <c r="B22" s="11" t="s">
        <v>1670</v>
      </c>
      <c r="C22" s="12" t="str">
        <f>IF(COUNTIFS('Master Data'!$T$2:$T$175,"Case series/report",'Master Data'!$I$2:$I$175,"Sweden",'Master Data'!$AD$2:$AD$175,1)=0,"n/a",COUNTIFS('Master Data'!$T$2:$T$175,"Case series/report",'Master Data'!$I$2:$I$175,"Sweden",'Master Data'!$AC$2:$AC$175,1)/COUNTIFS('Master Data'!$T$2:$T$175,"Case series/report",'Master Data'!$I$2:$I$175,"Sweden",'Master Data'!$AD$2:$AD$175,1))</f>
        <v>n/a</v>
      </c>
      <c r="D22" s="12" t="str">
        <f>IF(COUNTIFS('Master Data'!$T$2:$T$175,"Case series/report",'Master Data'!$I$2:$I$175,"Denmark",'Master Data'!$AD$2:$AD$175,1)=0,"n/a",COUNTIFS('Master Data'!$T$2:$T$175,"Case series/report",'Master Data'!$I$2:$I$175,"Denmark",'Master Data'!$AC$2:$AC$175,1)/COUNTIFS('Master Data'!$T$2:$T$175,"Case series/report",'Master Data'!$I$2:$I$175,"Denmark",'Master Data'!$AD$2:$AD$175,1))</f>
        <v>n/a</v>
      </c>
      <c r="E22" s="12" t="str">
        <f>IF(COUNTIFS('Master Data'!$T$2:$T$175,"Case series/report",'Master Data'!$I$2:$I$175,"Norway",'Master Data'!$AD$2:$AD$175,1)=0,"n/a",COUNTIFS('Master Data'!$T$2:$T$175,"Case series/report",'Master Data'!$I$2:$I$175,"Norway",'Master Data'!$AC$2:$AC$175,1)/COUNTIFS('Master Data'!$T$2:$T$175,"Case series/report",'Master Data'!$I$2:$I$175,"Norway",'Master Data'!$AD$2:$AD$175,1))</f>
        <v>n/a</v>
      </c>
    </row>
    <row r="23" spans="2:5" x14ac:dyDescent="0.2">
      <c r="B23" s="11" t="s">
        <v>90</v>
      </c>
      <c r="C23" s="12">
        <f>IF(COUNTIFS('Master Data'!$T$2:$T$175,"Not specified / unclear",'Master Data'!$I$2:$I$175,"Sweden",'Master Data'!$AD$2:$AD$175,1)=0,"n/a",COUNTIFS('Master Data'!$T$2:$T$175,"Not specified / unclear",'Master Data'!$I$2:$I$175,"Sweden",'Master Data'!$AC$2:$AC$175,1)/COUNTIFS('Master Data'!$T$2:$T$175,"Not specified / unclear",'Master Data'!$I$2:$I$175,"Sweden",'Master Data'!$AD$2:$AD$175,1))</f>
        <v>0.52083333333333337</v>
      </c>
      <c r="D23" s="12">
        <f>IF(COUNTIFS('Master Data'!$T$2:$T$175,"Not specified / unclear",'Master Data'!$I$2:$I$175,"Denmark",'Master Data'!$AD$2:$AD$175,1)=0,"n/a",COUNTIFS('Master Data'!$T$2:$T$175,"Not specified / unclear",'Master Data'!$I$2:$I$175,"Denmark",'Master Data'!$AC$2:$AC$175,1)/COUNTIFS('Master Data'!$T$2:$T$175,"Not specified / unclear",'Master Data'!$I$2:$I$175,"Denmark",'Master Data'!$AD$2:$AD$175,1))</f>
        <v>0.625</v>
      </c>
      <c r="E23" s="12">
        <f>IF(COUNTIFS('Master Data'!$T$2:$T$175,"Not specified / unclear",'Master Data'!$I$2:$I$175,"Norway",'Master Data'!$AD$2:$AD$175,1)=0,"n/a",COUNTIFS('Master Data'!$T$2:$T$175,"Not specified / unclear",'Master Data'!$I$2:$I$175,"Norway",'Master Data'!$AC$2:$AC$175,1)/COUNTIFS('Master Data'!$T$2:$T$175,"Not specified / unclear",'Master Data'!$I$2:$I$175,"Norway",'Master Data'!$AD$2:$AD$175,1))</f>
        <v>0.42499999999999999</v>
      </c>
    </row>
    <row r="26" spans="2:5" x14ac:dyDescent="0.2">
      <c r="B26" s="9" t="s">
        <v>1673</v>
      </c>
    </row>
    <row r="27" spans="2:5" ht="56" x14ac:dyDescent="0.2">
      <c r="B27" s="10" t="s">
        <v>44</v>
      </c>
      <c r="C27" s="10" t="s">
        <v>1674</v>
      </c>
      <c r="D27" s="10" t="s">
        <v>1637</v>
      </c>
      <c r="E27" s="10" t="s">
        <v>1675</v>
      </c>
    </row>
    <row r="28" spans="2:5" x14ac:dyDescent="0.2">
      <c r="B28" s="11" t="s">
        <v>80</v>
      </c>
      <c r="C28" s="3">
        <f>COUNTIFS('Master Data'!$I$2:$I$175,"Sweden",'Master Data'!$U$2:$U$175,"*Clinical evidence uncertainty*")</f>
        <v>29</v>
      </c>
      <c r="D28" s="3">
        <f>COUNTIFS('Master Data'!$I$2:$I$175,"Sweden",'Master Data'!$AD$2:$AD$175,1)</f>
        <v>49</v>
      </c>
      <c r="E28" s="12">
        <f>IF(D28=0,"n/a",C28/D28)</f>
        <v>0.59183673469387754</v>
      </c>
    </row>
    <row r="29" spans="2:5" x14ac:dyDescent="0.2">
      <c r="B29" s="11" t="s">
        <v>99</v>
      </c>
      <c r="C29" s="3">
        <f>COUNTIFS('Master Data'!$I$2:$I$175,"Denmark",'Master Data'!$U$2:$U$175,"*Clinical evidence uncertainty*")</f>
        <v>15</v>
      </c>
      <c r="D29" s="3">
        <f>COUNTIFS('Master Data'!$I$2:$I$175,"Denmark",'Master Data'!$AD$2:$AD$175,1)</f>
        <v>40</v>
      </c>
      <c r="E29" s="12">
        <f>IF(D29=0,"n/a",C29/D29)</f>
        <v>0.375</v>
      </c>
    </row>
    <row r="30" spans="2:5" x14ac:dyDescent="0.2">
      <c r="B30" s="11" t="s">
        <v>113</v>
      </c>
      <c r="C30" s="3">
        <f>COUNTIFS('Master Data'!$I$2:$I$175,"Norway",'Master Data'!$U$2:$U$175,"*Clinical evidence uncertainty*")</f>
        <v>18</v>
      </c>
      <c r="D30" s="3">
        <f>COUNTIFS('Master Data'!$I$2:$I$175,"Norway",'Master Data'!$AD$2:$AD$175,1)</f>
        <v>43</v>
      </c>
      <c r="E30" s="12">
        <f>IF(D30=0,"n/a",C30/D30)</f>
        <v>0.41860465116279072</v>
      </c>
    </row>
  </sheetData>
  <pageMargins left="0.75" right="0.75" top="1" bottom="1" header="0.5" footer="0.5"/>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F21"/>
  <sheetViews>
    <sheetView showGridLines="0" workbookViewId="0"/>
  </sheetViews>
  <sheetFormatPr baseColWidth="10" defaultColWidth="8.83203125" defaultRowHeight="15" x14ac:dyDescent="0.2"/>
  <cols>
    <col min="1" max="1" width="3" customWidth="1"/>
    <col min="2" max="2" width="34" customWidth="1"/>
    <col min="3" max="7" width="14" customWidth="1"/>
  </cols>
  <sheetData>
    <row r="2" spans="2:6" ht="18" x14ac:dyDescent="0.2">
      <c r="B2" s="4" t="s">
        <v>1676</v>
      </c>
    </row>
    <row r="3" spans="2:6" ht="113" x14ac:dyDescent="0.2">
      <c r="B3" s="8" t="s">
        <v>1677</v>
      </c>
    </row>
    <row r="5" spans="2:6" x14ac:dyDescent="0.2">
      <c r="B5" s="9" t="s">
        <v>1678</v>
      </c>
    </row>
    <row r="6" spans="2:6" x14ac:dyDescent="0.2">
      <c r="B6" s="10" t="s">
        <v>1679</v>
      </c>
      <c r="C6" s="10" t="s">
        <v>80</v>
      </c>
      <c r="D6" s="10" t="s">
        <v>99</v>
      </c>
      <c r="E6" s="10" t="s">
        <v>113</v>
      </c>
      <c r="F6" s="10" t="s">
        <v>1605</v>
      </c>
    </row>
    <row r="7" spans="2:6" x14ac:dyDescent="0.2">
      <c r="B7" s="11" t="s">
        <v>135</v>
      </c>
      <c r="C7" s="3">
        <f>SUMPRODUCT(('Master Data'!$I$2:$I$175="Sweden")*('Master Data'!$O$2:$O$175="Price/Cost-effectiveness")*(('Master Data'!$M$2:$M$175="Negative")+('Master Data'!$M$2:$M$175="Withdrawn")))</f>
        <v>11</v>
      </c>
      <c r="D7" s="3">
        <f>SUMPRODUCT(('Master Data'!$I$2:$I$175="Denmark")*('Master Data'!$O$2:$O$175="Price/Cost-effectiveness")*(('Master Data'!$M$2:$M$175="Negative")+('Master Data'!$M$2:$M$175="Withdrawn")))</f>
        <v>12</v>
      </c>
      <c r="E7" s="3">
        <f>SUMPRODUCT(('Master Data'!$I$2:$I$175="Norway")*('Master Data'!$O$2:$O$175="Price/Cost-effectiveness")*(('Master Data'!$M$2:$M$175="Negative")+('Master Data'!$M$2:$M$175="Withdrawn")))</f>
        <v>12</v>
      </c>
      <c r="F7" s="3">
        <f>SUM(C7:E7)</f>
        <v>35</v>
      </c>
    </row>
    <row r="8" spans="2:6" x14ac:dyDescent="0.2">
      <c r="B8" s="11" t="s">
        <v>86</v>
      </c>
      <c r="C8" s="3">
        <f>SUMPRODUCT(('Master Data'!$I$2:$I$175="Sweden")*('Master Data'!$O$2:$O$175="Clinical evidence uncertainty")*(('Master Data'!$M$2:$M$175="Negative")+('Master Data'!$M$2:$M$175="Withdrawn")))</f>
        <v>2</v>
      </c>
      <c r="D8" s="3">
        <f>SUMPRODUCT(('Master Data'!$I$2:$I$175="Denmark")*('Master Data'!$O$2:$O$175="Clinical evidence uncertainty")*(('Master Data'!$M$2:$M$175="Negative")+('Master Data'!$M$2:$M$175="Withdrawn")))</f>
        <v>0</v>
      </c>
      <c r="E8" s="3">
        <f>SUMPRODUCT(('Master Data'!$I$2:$I$175="Norway")*('Master Data'!$O$2:$O$175="Clinical evidence uncertainty")*(('Master Data'!$M$2:$M$175="Negative")+('Master Data'!$M$2:$M$175="Withdrawn")))</f>
        <v>0</v>
      </c>
      <c r="F8" s="3">
        <f>SUM(C8:E8)</f>
        <v>2</v>
      </c>
    </row>
    <row r="9" spans="2:6" x14ac:dyDescent="0.2">
      <c r="B9" s="11" t="s">
        <v>219</v>
      </c>
      <c r="C9" s="3">
        <f>SUMPRODUCT(('Master Data'!$I$2:$I$175="Sweden")*('Master Data'!$O$2:$O$175="Administrative/Procedural")*(('Master Data'!$M$2:$M$175="Negative")+('Master Data'!$M$2:$M$175="Withdrawn")))</f>
        <v>4</v>
      </c>
      <c r="D9" s="3">
        <f>SUMPRODUCT(('Master Data'!$I$2:$I$175="Denmark")*('Master Data'!$O$2:$O$175="Administrative/Procedural")*(('Master Data'!$M$2:$M$175="Negative")+('Master Data'!$M$2:$M$175="Withdrawn")))</f>
        <v>2</v>
      </c>
      <c r="E9" s="3">
        <f>SUMPRODUCT(('Master Data'!$I$2:$I$175="Norway")*('Master Data'!$O$2:$O$175="Administrative/Procedural")*(('Master Data'!$M$2:$M$175="Negative")+('Master Data'!$M$2:$M$175="Withdrawn")))</f>
        <v>3</v>
      </c>
      <c r="F9" s="3">
        <f>SUM(C9:E9)</f>
        <v>9</v>
      </c>
    </row>
    <row r="10" spans="2:6" x14ac:dyDescent="0.2">
      <c r="B10" s="11" t="s">
        <v>557</v>
      </c>
      <c r="C10" s="3">
        <f>SUMPRODUCT(('Master Data'!$I$2:$I$175="Sweden")*('Master Data'!$O$2:$O$175="Comparator/positioning")*(('Master Data'!$M$2:$M$175="Negative")+('Master Data'!$M$2:$M$175="Withdrawn")))</f>
        <v>0</v>
      </c>
      <c r="D10" s="3">
        <f>SUMPRODUCT(('Master Data'!$I$2:$I$175="Denmark")*('Master Data'!$O$2:$O$175="Comparator/positioning")*(('Master Data'!$M$2:$M$175="Negative")+('Master Data'!$M$2:$M$175="Withdrawn")))</f>
        <v>0</v>
      </c>
      <c r="E10" s="3">
        <f>SUMPRODUCT(('Master Data'!$I$2:$I$175="Norway")*('Master Data'!$O$2:$O$175="Comparator/positioning")*(('Master Data'!$M$2:$M$175="Negative")+('Master Data'!$M$2:$M$175="Withdrawn")))</f>
        <v>0</v>
      </c>
      <c r="F10" s="3">
        <f>SUM(C10:E10)</f>
        <v>0</v>
      </c>
    </row>
    <row r="11" spans="2:6" x14ac:dyDescent="0.2">
      <c r="B11" s="11" t="s">
        <v>104</v>
      </c>
      <c r="C11" s="3">
        <f>SUMPRODUCT(('Master Data'!$I$2:$I$175="Sweden")*('Master Data'!$O$2:$O$175="N/A")*(('Master Data'!$M$2:$M$175="Negative")+('Master Data'!$M$2:$M$175="Withdrawn")))</f>
        <v>0</v>
      </c>
      <c r="D11" s="3">
        <f>SUMPRODUCT(('Master Data'!$I$2:$I$175="Denmark")*('Master Data'!$O$2:$O$175="N/A")*(('Master Data'!$M$2:$M$175="Negative")+('Master Data'!$M$2:$M$175="Withdrawn")))</f>
        <v>0</v>
      </c>
      <c r="E11" s="3">
        <f>SUMPRODUCT(('Master Data'!$I$2:$I$175="Norway")*('Master Data'!$O$2:$O$175="N/A")*(('Master Data'!$M$2:$M$175="Negative")+('Master Data'!$M$2:$M$175="Withdrawn")))</f>
        <v>0</v>
      </c>
      <c r="F11" s="3">
        <f>SUM(C11:E11)</f>
        <v>0</v>
      </c>
    </row>
    <row r="14" spans="2:6" x14ac:dyDescent="0.2">
      <c r="B14" s="9" t="s">
        <v>1680</v>
      </c>
    </row>
    <row r="15" spans="2:6" x14ac:dyDescent="0.2">
      <c r="B15" s="10" t="s">
        <v>1681</v>
      </c>
      <c r="C15" s="10" t="s">
        <v>80</v>
      </c>
      <c r="D15" s="10" t="s">
        <v>99</v>
      </c>
      <c r="E15" s="10" t="s">
        <v>113</v>
      </c>
      <c r="F15" s="10" t="s">
        <v>1682</v>
      </c>
    </row>
    <row r="16" spans="2:6" x14ac:dyDescent="0.2">
      <c r="B16" s="11" t="s">
        <v>396</v>
      </c>
      <c r="C16" s="3">
        <f>SUMPRODUCT(('Master Data'!$I$2:$I$175="Sweden")*ISNUMBER(SEARCH("Price / cost-effectiveness",'Master Data'!$U$2:$U$175))*(('Master Data'!$M$2:$M$175="Negative")+('Master Data'!$M$2:$M$175="Withdrawn")))</f>
        <v>10</v>
      </c>
      <c r="D16" s="3">
        <f>SUMPRODUCT(('Master Data'!$I$2:$I$175="Denmark")*ISNUMBER(SEARCH("Price / cost-effectiveness",'Master Data'!$U$2:$U$175))*(('Master Data'!$M$2:$M$175="Negative")+('Master Data'!$M$2:$M$175="Withdrawn")))</f>
        <v>11</v>
      </c>
      <c r="E16" s="3">
        <f>SUMPRODUCT(('Master Data'!$I$2:$I$175="Norway")*ISNUMBER(SEARCH("Price / cost-effectiveness",'Master Data'!$U$2:$U$175))*(('Master Data'!$M$2:$M$175="Negative")+('Master Data'!$M$2:$M$175="Withdrawn")))</f>
        <v>6</v>
      </c>
      <c r="F16" s="3">
        <f>SUM(C16:E16)</f>
        <v>27</v>
      </c>
    </row>
    <row r="17" spans="2:6" x14ac:dyDescent="0.2">
      <c r="B17" s="11" t="s">
        <v>86</v>
      </c>
      <c r="C17" s="3">
        <f>SUMPRODUCT(('Master Data'!$I$2:$I$175="Sweden")*ISNUMBER(SEARCH("Clinical evidence uncertainty",'Master Data'!$U$2:$U$175))*(('Master Data'!$M$2:$M$175="Negative")+('Master Data'!$M$2:$M$175="Withdrawn")))</f>
        <v>11</v>
      </c>
      <c r="D17" s="3">
        <f>SUMPRODUCT(('Master Data'!$I$2:$I$175="Denmark")*ISNUMBER(SEARCH("Clinical evidence uncertainty",'Master Data'!$U$2:$U$175))*(('Master Data'!$M$2:$M$175="Negative")+('Master Data'!$M$2:$M$175="Withdrawn")))</f>
        <v>5</v>
      </c>
      <c r="E17" s="3">
        <f>SUMPRODUCT(('Master Data'!$I$2:$I$175="Norway")*ISNUMBER(SEARCH("Clinical evidence uncertainty",'Master Data'!$U$2:$U$175))*(('Master Data'!$M$2:$M$175="Negative")+('Master Data'!$M$2:$M$175="Withdrawn")))</f>
        <v>5</v>
      </c>
      <c r="F17" s="3">
        <f>SUM(C17:E17)</f>
        <v>21</v>
      </c>
    </row>
    <row r="18" spans="2:6" x14ac:dyDescent="0.2">
      <c r="B18" s="11" t="s">
        <v>347</v>
      </c>
      <c r="C18" s="3">
        <f>SUMPRODUCT(('Master Data'!$I$2:$I$175="Sweden")*ISNUMBER(SEARCH("Administrative/procedural",'Master Data'!$U$2:$U$175))*(('Master Data'!$M$2:$M$175="Negative")+('Master Data'!$M$2:$M$175="Withdrawn")))</f>
        <v>2</v>
      </c>
      <c r="D18" s="3">
        <f>SUMPRODUCT(('Master Data'!$I$2:$I$175="Denmark")*ISNUMBER(SEARCH("Administrative/procedural",'Master Data'!$U$2:$U$175))*(('Master Data'!$M$2:$M$175="Negative")+('Master Data'!$M$2:$M$175="Withdrawn")))</f>
        <v>2</v>
      </c>
      <c r="E18" s="3">
        <f>SUMPRODUCT(('Master Data'!$I$2:$I$175="Norway")*ISNUMBER(SEARCH("Administrative/procedural",'Master Data'!$U$2:$U$175))*(('Master Data'!$M$2:$M$175="Negative")+('Master Data'!$M$2:$M$175="Withdrawn")))</f>
        <v>5</v>
      </c>
      <c r="F18" s="3">
        <f>SUM(C18:E18)</f>
        <v>9</v>
      </c>
    </row>
    <row r="19" spans="2:6" x14ac:dyDescent="0.2">
      <c r="B19" s="11" t="s">
        <v>365</v>
      </c>
      <c r="C19" s="3">
        <f>SUMPRODUCT(('Master Data'!$I$2:$I$175="Sweden")*ISNUMBER(SEARCH("Comparator/positioning issue",'Master Data'!$U$2:$U$175))*(('Master Data'!$M$2:$M$175="Negative")+('Master Data'!$M$2:$M$175="Withdrawn")))</f>
        <v>1</v>
      </c>
      <c r="D19" s="3">
        <f>SUMPRODUCT(('Master Data'!$I$2:$I$175="Denmark")*ISNUMBER(SEARCH("Comparator/positioning issue",'Master Data'!$U$2:$U$175))*(('Master Data'!$M$2:$M$175="Negative")+('Master Data'!$M$2:$M$175="Withdrawn")))</f>
        <v>2</v>
      </c>
      <c r="E19" s="3">
        <f>SUMPRODUCT(('Master Data'!$I$2:$I$175="Norway")*ISNUMBER(SEARCH("Comparator/positioning issue",'Master Data'!$U$2:$U$175))*(('Master Data'!$M$2:$M$175="Negative")+('Master Data'!$M$2:$M$175="Withdrawn")))</f>
        <v>0</v>
      </c>
      <c r="F19" s="3">
        <f>SUM(C19:E19)</f>
        <v>3</v>
      </c>
    </row>
    <row r="21" spans="2:6" ht="143" x14ac:dyDescent="0.2">
      <c r="B21" s="13" t="s">
        <v>1683</v>
      </c>
    </row>
  </sheetData>
  <pageMargins left="0.75" right="0.75" top="1" bottom="1" header="0.5" footer="0.5"/>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2:M29"/>
  <sheetViews>
    <sheetView showGridLines="0" workbookViewId="0"/>
  </sheetViews>
  <sheetFormatPr baseColWidth="10" defaultColWidth="8.83203125" defaultRowHeight="15" x14ac:dyDescent="0.2"/>
  <cols>
    <col min="1" max="1" width="3" customWidth="1"/>
    <col min="2" max="2" width="36" customWidth="1"/>
    <col min="3" max="15" width="14" customWidth="1"/>
  </cols>
  <sheetData>
    <row r="2" spans="2:13" ht="18" x14ac:dyDescent="0.2">
      <c r="B2" s="4" t="s">
        <v>1684</v>
      </c>
    </row>
    <row r="3" spans="2:13" ht="57" x14ac:dyDescent="0.2">
      <c r="B3" s="8" t="s">
        <v>1685</v>
      </c>
    </row>
    <row r="5" spans="2:13" x14ac:dyDescent="0.2">
      <c r="B5" s="9" t="s">
        <v>1686</v>
      </c>
    </row>
    <row r="6" spans="2:13" ht="28" x14ac:dyDescent="0.2">
      <c r="B6" s="10" t="s">
        <v>1687</v>
      </c>
      <c r="C6" s="10" t="s">
        <v>102</v>
      </c>
      <c r="D6" s="10" t="s">
        <v>133</v>
      </c>
      <c r="E6" s="10" t="s">
        <v>84</v>
      </c>
      <c r="F6" s="10" t="s">
        <v>242</v>
      </c>
      <c r="G6" s="10" t="s">
        <v>363</v>
      </c>
      <c r="H6" s="10" t="s">
        <v>218</v>
      </c>
      <c r="I6" s="10" t="s">
        <v>1637</v>
      </c>
      <c r="J6" s="10" t="s">
        <v>1638</v>
      </c>
      <c r="K6" s="10" t="s">
        <v>1664</v>
      </c>
      <c r="L6" s="10" t="s">
        <v>1665</v>
      </c>
      <c r="M6" s="10" t="s">
        <v>1666</v>
      </c>
    </row>
    <row r="7" spans="2:13" x14ac:dyDescent="0.2">
      <c r="B7" s="11" t="s">
        <v>170</v>
      </c>
      <c r="C7" s="3">
        <f>COUNTIFS('Master Data'!$R$2:$R$175,"Best supportive care / no active treatment",'Master Data'!$M$2:$M$175,"Positive")</f>
        <v>14</v>
      </c>
      <c r="D7" s="3">
        <f>COUNTIFS('Master Data'!$R$2:$R$175,"Best supportive care / no active treatment",'Master Data'!$M$2:$M$175,"Restricted Positive")</f>
        <v>13</v>
      </c>
      <c r="E7" s="3">
        <f>COUNTIFS('Master Data'!$R$2:$R$175,"Best supportive care / no active treatment",'Master Data'!$M$2:$M$175,"Negative")</f>
        <v>17</v>
      </c>
      <c r="F7" s="3">
        <f>COUNTIFS('Master Data'!$R$2:$R$175,"Best supportive care / no active treatment",'Master Data'!$M$2:$M$175,"Withdrawn")</f>
        <v>2</v>
      </c>
      <c r="G7" s="3">
        <f>COUNTIFS('Master Data'!$R$2:$R$175,"Best supportive care / no active treatment",'Master Data'!$M$2:$M$175,"Ongoing/Pending")</f>
        <v>6</v>
      </c>
      <c r="H7" s="3">
        <f>COUNTIFS('Master Data'!$R$2:$R$175,"Best supportive care / no active treatment",'Master Data'!$M$2:$M$175,"Not Evaluated")</f>
        <v>3</v>
      </c>
      <c r="I7" s="3">
        <f t="shared" ref="I7:I12" si="0">SUM(C7:H7)-H7</f>
        <v>52</v>
      </c>
      <c r="J7" s="3">
        <f t="shared" ref="J7:J12" si="1">C7+D7</f>
        <v>27</v>
      </c>
      <c r="K7" s="12">
        <f t="shared" ref="K7:K12" si="2">IF(I7=0,"",(J7/I7))</f>
        <v>0.51923076923076927</v>
      </c>
      <c r="L7" s="12">
        <f t="shared" ref="L7:L12" si="3">IF(I7=0,"",MAX(0,(((J7/I7)+1.959963985^2/(2*I7))/(1+1.959963985^2/I7))-((1.959963985*SQRT(((J7/I7)*(1-(J7/I7))/I7)+(1.959963985^2/(4*I7^2))))/(1+1.959963985^2/I7))))</f>
        <v>0.38685682765134122</v>
      </c>
      <c r="M7" s="12">
        <f t="shared" ref="M7:M12" si="4">IF(I7=0,"",MIN(1,(((J7/I7)+1.959963985^2/(2*I7))/(1+1.959963985^2/I7))+((1.959963985*SQRT(((J7/I7)*(1-(J7/I7))/I7)+(1.959963985^2/(4*I7^2))))/(1+1.959963985^2/I7))))</f>
        <v>0.64895885557350785</v>
      </c>
    </row>
    <row r="8" spans="2:13" x14ac:dyDescent="0.2">
      <c r="B8" s="11" t="s">
        <v>88</v>
      </c>
      <c r="C8" s="3">
        <f>COUNTIFS('Master Data'!$R$2:$R$175,"Active comparator drug(s)",'Master Data'!$M$2:$M$175,"Positive")</f>
        <v>15</v>
      </c>
      <c r="D8" s="3">
        <f>COUNTIFS('Master Data'!$R$2:$R$175,"Active comparator drug(s)",'Master Data'!$M$2:$M$175,"Restricted Positive")</f>
        <v>11</v>
      </c>
      <c r="E8" s="3">
        <f>COUNTIFS('Master Data'!$R$2:$R$175,"Active comparator drug(s)",'Master Data'!$M$2:$M$175,"Negative")</f>
        <v>8</v>
      </c>
      <c r="F8" s="3">
        <f>COUNTIFS('Master Data'!$R$2:$R$175,"Active comparator drug(s)",'Master Data'!$M$2:$M$175,"Withdrawn")</f>
        <v>3</v>
      </c>
      <c r="G8" s="3">
        <f>COUNTIFS('Master Data'!$R$2:$R$175,"Active comparator drug(s)",'Master Data'!$M$2:$M$175,"Ongoing/Pending")</f>
        <v>5</v>
      </c>
      <c r="H8" s="3">
        <f>COUNTIFS('Master Data'!$R$2:$R$175,"Active comparator drug(s)",'Master Data'!$M$2:$M$175,"Not Evaluated")</f>
        <v>1</v>
      </c>
      <c r="I8" s="3">
        <f t="shared" si="0"/>
        <v>42</v>
      </c>
      <c r="J8" s="3">
        <f t="shared" si="1"/>
        <v>26</v>
      </c>
      <c r="K8" s="12">
        <f t="shared" si="2"/>
        <v>0.61904761904761907</v>
      </c>
      <c r="L8" s="12">
        <f t="shared" si="3"/>
        <v>0.46814040263678425</v>
      </c>
      <c r="M8" s="12">
        <f t="shared" si="4"/>
        <v>0.75000274238661147</v>
      </c>
    </row>
    <row r="9" spans="2:13" x14ac:dyDescent="0.2">
      <c r="B9" s="11" t="s">
        <v>1360</v>
      </c>
      <c r="C9" s="3">
        <f>COUNTIFS('Master Data'!$R$2:$R$175,"Chemotherapy / salvage regimen",'Master Data'!$M$2:$M$175,"Positive")</f>
        <v>2</v>
      </c>
      <c r="D9" s="3">
        <f>COUNTIFS('Master Data'!$R$2:$R$175,"Chemotherapy / salvage regimen",'Master Data'!$M$2:$M$175,"Restricted Positive")</f>
        <v>0</v>
      </c>
      <c r="E9" s="3">
        <f>COUNTIFS('Master Data'!$R$2:$R$175,"Chemotherapy / salvage regimen",'Master Data'!$M$2:$M$175,"Negative")</f>
        <v>0</v>
      </c>
      <c r="F9" s="3">
        <f>COUNTIFS('Master Data'!$R$2:$R$175,"Chemotherapy / salvage regimen",'Master Data'!$M$2:$M$175,"Withdrawn")</f>
        <v>0</v>
      </c>
      <c r="G9" s="3">
        <f>COUNTIFS('Master Data'!$R$2:$R$175,"Chemotherapy / salvage regimen",'Master Data'!$M$2:$M$175,"Ongoing/Pending")</f>
        <v>0</v>
      </c>
      <c r="H9" s="3">
        <f>COUNTIFS('Master Data'!$R$2:$R$175,"Chemotherapy / salvage regimen",'Master Data'!$M$2:$M$175,"Not Evaluated")</f>
        <v>3</v>
      </c>
      <c r="I9" s="3">
        <f t="shared" si="0"/>
        <v>2</v>
      </c>
      <c r="J9" s="3">
        <f t="shared" si="1"/>
        <v>2</v>
      </c>
      <c r="K9" s="12">
        <f t="shared" si="2"/>
        <v>1</v>
      </c>
      <c r="L9" s="12">
        <f t="shared" si="3"/>
        <v>0.34238022740097812</v>
      </c>
      <c r="M9" s="12">
        <f t="shared" si="4"/>
        <v>1</v>
      </c>
    </row>
    <row r="10" spans="2:13" x14ac:dyDescent="0.2">
      <c r="B10" s="11" t="s">
        <v>244</v>
      </c>
      <c r="C10" s="3">
        <f>COUNTIFS('Master Data'!$R$2:$R$175,"Procedural / transplant-based comparator",'Master Data'!$M$2:$M$175,"Positive")</f>
        <v>1</v>
      </c>
      <c r="D10" s="3">
        <f>COUNTIFS('Master Data'!$R$2:$R$175,"Procedural / transplant-based comparator",'Master Data'!$M$2:$M$175,"Restricted Positive")</f>
        <v>3</v>
      </c>
      <c r="E10" s="3">
        <f>COUNTIFS('Master Data'!$R$2:$R$175,"Procedural / transplant-based comparator",'Master Data'!$M$2:$M$175,"Negative")</f>
        <v>6</v>
      </c>
      <c r="F10" s="3">
        <f>COUNTIFS('Master Data'!$R$2:$R$175,"Procedural / transplant-based comparator",'Master Data'!$M$2:$M$175,"Withdrawn")</f>
        <v>1</v>
      </c>
      <c r="G10" s="3">
        <f>COUNTIFS('Master Data'!$R$2:$R$175,"Procedural / transplant-based comparator",'Master Data'!$M$2:$M$175,"Ongoing/Pending")</f>
        <v>0</v>
      </c>
      <c r="H10" s="3">
        <f>COUNTIFS('Master Data'!$R$2:$R$175,"Procedural / transplant-based comparator",'Master Data'!$M$2:$M$175,"Not Evaluated")</f>
        <v>1</v>
      </c>
      <c r="I10" s="3">
        <f t="shared" si="0"/>
        <v>11</v>
      </c>
      <c r="J10" s="3">
        <f t="shared" si="1"/>
        <v>4</v>
      </c>
      <c r="K10" s="12">
        <f t="shared" si="2"/>
        <v>0.36363636363636365</v>
      </c>
      <c r="L10" s="12">
        <f t="shared" si="3"/>
        <v>0.15166471092207015</v>
      </c>
      <c r="M10" s="12">
        <f t="shared" si="4"/>
        <v>0.64619882554831243</v>
      </c>
    </row>
    <row r="11" spans="2:13" x14ac:dyDescent="0.2">
      <c r="B11" s="11" t="s">
        <v>264</v>
      </c>
      <c r="C11" s="3">
        <f>COUNTIFS('Master Data'!$R$2:$R$175,"Other / mixed comparator",'Master Data'!$M$2:$M$175,"Positive")</f>
        <v>3</v>
      </c>
      <c r="D11" s="3">
        <f>COUNTIFS('Master Data'!$R$2:$R$175,"Other / mixed comparator",'Master Data'!$M$2:$M$175,"Restricted Positive")</f>
        <v>9</v>
      </c>
      <c r="E11" s="3">
        <f>COUNTIFS('Master Data'!$R$2:$R$175,"Other / mixed comparator",'Master Data'!$M$2:$M$175,"Negative")</f>
        <v>7</v>
      </c>
      <c r="F11" s="3">
        <f>COUNTIFS('Master Data'!$R$2:$R$175,"Other / mixed comparator",'Master Data'!$M$2:$M$175,"Withdrawn")</f>
        <v>1</v>
      </c>
      <c r="G11" s="3">
        <f>COUNTIFS('Master Data'!$R$2:$R$175,"Other / mixed comparator",'Master Data'!$M$2:$M$175,"Ongoing/Pending")</f>
        <v>3</v>
      </c>
      <c r="H11" s="3">
        <f>COUNTIFS('Master Data'!$R$2:$R$175,"Other / mixed comparator",'Master Data'!$M$2:$M$175,"Not Evaluated")</f>
        <v>13</v>
      </c>
      <c r="I11" s="3">
        <f t="shared" si="0"/>
        <v>23</v>
      </c>
      <c r="J11" s="3">
        <f t="shared" si="1"/>
        <v>12</v>
      </c>
      <c r="K11" s="12">
        <f t="shared" si="2"/>
        <v>0.52173913043478259</v>
      </c>
      <c r="L11" s="12">
        <f t="shared" si="3"/>
        <v>0.3296273733250073</v>
      </c>
      <c r="M11" s="12">
        <f t="shared" si="4"/>
        <v>0.70762842587029784</v>
      </c>
    </row>
    <row r="12" spans="2:13" x14ac:dyDescent="0.2">
      <c r="B12" s="11" t="s">
        <v>221</v>
      </c>
      <c r="C12" s="3">
        <f>COUNTIFS('Master Data'!$R$2:$R$175,"Not applicable / Not assessed",'Master Data'!$M$2:$M$175,"Positive")</f>
        <v>0</v>
      </c>
      <c r="D12" s="3">
        <f>COUNTIFS('Master Data'!$R$2:$R$175,"Not applicable / Not assessed",'Master Data'!$M$2:$M$175,"Restricted Positive")</f>
        <v>0</v>
      </c>
      <c r="E12" s="3">
        <f>COUNTIFS('Master Data'!$R$2:$R$175,"Not applicable / Not assessed",'Master Data'!$M$2:$M$175,"Negative")</f>
        <v>0</v>
      </c>
      <c r="F12" s="3">
        <f>COUNTIFS('Master Data'!$R$2:$R$175,"Not applicable / Not assessed",'Master Data'!$M$2:$M$175,"Withdrawn")</f>
        <v>1</v>
      </c>
      <c r="G12" s="3">
        <f>COUNTIFS('Master Data'!$R$2:$R$175,"Not applicable / Not assessed",'Master Data'!$M$2:$M$175,"Ongoing/Pending")</f>
        <v>1</v>
      </c>
      <c r="H12" s="3">
        <f>COUNTIFS('Master Data'!$R$2:$R$175,"Not applicable / Not assessed",'Master Data'!$M$2:$M$175,"Not Evaluated")</f>
        <v>21</v>
      </c>
      <c r="I12" s="3">
        <f t="shared" si="0"/>
        <v>2</v>
      </c>
      <c r="J12" s="3">
        <f t="shared" si="1"/>
        <v>0</v>
      </c>
      <c r="K12" s="12">
        <f t="shared" si="2"/>
        <v>0</v>
      </c>
      <c r="L12" s="12">
        <f t="shared" si="3"/>
        <v>0</v>
      </c>
      <c r="M12" s="12">
        <f t="shared" si="4"/>
        <v>0.65761977259902193</v>
      </c>
    </row>
    <row r="15" spans="2:13" x14ac:dyDescent="0.2">
      <c r="B15" s="9" t="s">
        <v>1688</v>
      </c>
    </row>
    <row r="16" spans="2:13" x14ac:dyDescent="0.2">
      <c r="B16" s="10" t="s">
        <v>1687</v>
      </c>
      <c r="C16" s="10" t="s">
        <v>80</v>
      </c>
      <c r="D16" s="10" t="s">
        <v>99</v>
      </c>
      <c r="E16" s="10" t="s">
        <v>113</v>
      </c>
    </row>
    <row r="17" spans="2:6" x14ac:dyDescent="0.2">
      <c r="B17" s="11" t="s">
        <v>170</v>
      </c>
      <c r="C17" s="12">
        <f>IF(COUNTIFS('Master Data'!$R$2:$R$175,"Best supportive care / no active treatment",'Master Data'!$I$2:$I$175,"Sweden",'Master Data'!$AD$2:$AD$175,1)=0,"n/a",COUNTIFS('Master Data'!$R$2:$R$175,"Best supportive care / no active treatment",'Master Data'!$I$2:$I$175,"Sweden",'Master Data'!$AC$2:$AC$175,1)/COUNTIFS('Master Data'!$R$2:$R$175,"Best supportive care / no active treatment",'Master Data'!$I$2:$I$175,"Sweden",'Master Data'!$AD$2:$AD$175,1))</f>
        <v>0.54545454545454541</v>
      </c>
      <c r="D17" s="12">
        <f>IF(COUNTIFS('Master Data'!$R$2:$R$175,"Best supportive care / no active treatment",'Master Data'!$I$2:$I$175,"Denmark",'Master Data'!$AD$2:$AD$175,1)=0,"n/a",COUNTIFS('Master Data'!$R$2:$R$175,"Best supportive care / no active treatment",'Master Data'!$I$2:$I$175,"Denmark",'Master Data'!$AC$2:$AC$175,1)/COUNTIFS('Master Data'!$R$2:$R$175,"Best supportive care / no active treatment",'Master Data'!$I$2:$I$175,"Denmark",'Master Data'!$AD$2:$AD$175,1))</f>
        <v>0.53333333333333333</v>
      </c>
      <c r="E17" s="12">
        <f>IF(COUNTIFS('Master Data'!$R$2:$R$175,"Best supportive care / no active treatment",'Master Data'!$I$2:$I$175,"Norway",'Master Data'!$AD$2:$AD$175,1)=0,"n/a",COUNTIFS('Master Data'!$R$2:$R$175,"Best supportive care / no active treatment",'Master Data'!$I$2:$I$175,"Norway",'Master Data'!$AC$2:$AC$175,1)/COUNTIFS('Master Data'!$R$2:$R$175,"Best supportive care / no active treatment",'Master Data'!$I$2:$I$175,"Norway",'Master Data'!$AD$2:$AD$175,1))</f>
        <v>0.46666666666666667</v>
      </c>
    </row>
    <row r="18" spans="2:6" x14ac:dyDescent="0.2">
      <c r="B18" s="11" t="s">
        <v>88</v>
      </c>
      <c r="C18" s="12">
        <f>IF(COUNTIFS('Master Data'!$R$2:$R$175,"Active comparator drug(s)",'Master Data'!$I$2:$I$175,"Sweden",'Master Data'!$AD$2:$AD$175,1)=0,"n/a",COUNTIFS('Master Data'!$R$2:$R$175,"Active comparator drug(s)",'Master Data'!$I$2:$I$175,"Sweden",'Master Data'!$AC$2:$AC$175,1)/COUNTIFS('Master Data'!$R$2:$R$175,"Active comparator drug(s)",'Master Data'!$I$2:$I$175,"Sweden",'Master Data'!$AD$2:$AD$175,1))</f>
        <v>0.55555555555555558</v>
      </c>
      <c r="D18" s="12">
        <f>IF(COUNTIFS('Master Data'!$R$2:$R$175,"Active comparator drug(s)",'Master Data'!$I$2:$I$175,"Denmark",'Master Data'!$AD$2:$AD$175,1)=0,"n/a",COUNTIFS('Master Data'!$R$2:$R$175,"Active comparator drug(s)",'Master Data'!$I$2:$I$175,"Denmark",'Master Data'!$AC$2:$AC$175,1)/COUNTIFS('Master Data'!$R$2:$R$175,"Active comparator drug(s)",'Master Data'!$I$2:$I$175,"Denmark",'Master Data'!$AD$2:$AD$175,1))</f>
        <v>0.75</v>
      </c>
      <c r="E18" s="12">
        <f>IF(COUNTIFS('Master Data'!$R$2:$R$175,"Active comparator drug(s)",'Master Data'!$I$2:$I$175,"Norway",'Master Data'!$AD$2:$AD$175,1)=0,"n/a",COUNTIFS('Master Data'!$R$2:$R$175,"Active comparator drug(s)",'Master Data'!$I$2:$I$175,"Norway",'Master Data'!$AC$2:$AC$175,1)/COUNTIFS('Master Data'!$R$2:$R$175,"Active comparator drug(s)",'Master Data'!$I$2:$I$175,"Norway",'Master Data'!$AD$2:$AD$175,1))</f>
        <v>0.52941176470588236</v>
      </c>
    </row>
    <row r="19" spans="2:6" x14ac:dyDescent="0.2">
      <c r="B19" s="11" t="s">
        <v>1360</v>
      </c>
      <c r="C19" s="12">
        <f>IF(COUNTIFS('Master Data'!$R$2:$R$175,"Chemotherapy / salvage regimen",'Master Data'!$I$2:$I$175,"Sweden",'Master Data'!$AD$2:$AD$175,1)=0,"n/a",COUNTIFS('Master Data'!$R$2:$R$175,"Chemotherapy / salvage regimen",'Master Data'!$I$2:$I$175,"Sweden",'Master Data'!$AC$2:$AC$175,1)/COUNTIFS('Master Data'!$R$2:$R$175,"Chemotherapy / salvage regimen",'Master Data'!$I$2:$I$175,"Sweden",'Master Data'!$AD$2:$AD$175,1))</f>
        <v>1</v>
      </c>
      <c r="D19" s="12" t="str">
        <f>IF(COUNTIFS('Master Data'!$R$2:$R$175,"Chemotherapy / salvage regimen",'Master Data'!$I$2:$I$175,"Denmark",'Master Data'!$AD$2:$AD$175,1)=0,"n/a",COUNTIFS('Master Data'!$R$2:$R$175,"Chemotherapy / salvage regimen",'Master Data'!$I$2:$I$175,"Denmark",'Master Data'!$AC$2:$AC$175,1)/COUNTIFS('Master Data'!$R$2:$R$175,"Chemotherapy / salvage regimen",'Master Data'!$I$2:$I$175,"Denmark",'Master Data'!$AD$2:$AD$175,1))</f>
        <v>n/a</v>
      </c>
      <c r="E19" s="12" t="str">
        <f>IF(COUNTIFS('Master Data'!$R$2:$R$175,"Chemotherapy / salvage regimen",'Master Data'!$I$2:$I$175,"Norway",'Master Data'!$AD$2:$AD$175,1)=0,"n/a",COUNTIFS('Master Data'!$R$2:$R$175,"Chemotherapy / salvage regimen",'Master Data'!$I$2:$I$175,"Norway",'Master Data'!$AC$2:$AC$175,1)/COUNTIFS('Master Data'!$R$2:$R$175,"Chemotherapy / salvage regimen",'Master Data'!$I$2:$I$175,"Norway",'Master Data'!$AD$2:$AD$175,1))</f>
        <v>n/a</v>
      </c>
    </row>
    <row r="20" spans="2:6" x14ac:dyDescent="0.2">
      <c r="B20" s="11" t="s">
        <v>244</v>
      </c>
      <c r="C20" s="12">
        <f>IF(COUNTIFS('Master Data'!$R$2:$R$175,"Procedural / transplant-based comparator",'Master Data'!$I$2:$I$175,"Sweden",'Master Data'!$AD$2:$AD$175,1)=0,"n/a",COUNTIFS('Master Data'!$R$2:$R$175,"Procedural / transplant-based comparator",'Master Data'!$I$2:$I$175,"Sweden",'Master Data'!$AC$2:$AC$175,1)/COUNTIFS('Master Data'!$R$2:$R$175,"Procedural / transplant-based comparator",'Master Data'!$I$2:$I$175,"Sweden",'Master Data'!$AD$2:$AD$175,1))</f>
        <v>0.5</v>
      </c>
      <c r="D20" s="12">
        <f>IF(COUNTIFS('Master Data'!$R$2:$R$175,"Procedural / transplant-based comparator",'Master Data'!$I$2:$I$175,"Denmark",'Master Data'!$AD$2:$AD$175,1)=0,"n/a",COUNTIFS('Master Data'!$R$2:$R$175,"Procedural / transplant-based comparator",'Master Data'!$I$2:$I$175,"Denmark",'Master Data'!$AC$2:$AC$175,1)/COUNTIFS('Master Data'!$R$2:$R$175,"Procedural / transplant-based comparator",'Master Data'!$I$2:$I$175,"Denmark",'Master Data'!$AD$2:$AD$175,1))</f>
        <v>0</v>
      </c>
      <c r="E20" s="12">
        <f>IF(COUNTIFS('Master Data'!$R$2:$R$175,"Procedural / transplant-based comparator",'Master Data'!$I$2:$I$175,"Norway",'Master Data'!$AD$2:$AD$175,1)=0,"n/a",COUNTIFS('Master Data'!$R$2:$R$175,"Procedural / transplant-based comparator",'Master Data'!$I$2:$I$175,"Norway",'Master Data'!$AC$2:$AC$175,1)/COUNTIFS('Master Data'!$R$2:$R$175,"Procedural / transplant-based comparator",'Master Data'!$I$2:$I$175,"Norway",'Master Data'!$AD$2:$AD$175,1))</f>
        <v>0.33333333333333331</v>
      </c>
    </row>
    <row r="21" spans="2:6" x14ac:dyDescent="0.2">
      <c r="B21" s="11" t="s">
        <v>264</v>
      </c>
      <c r="C21" s="12">
        <f>IF(COUNTIFS('Master Data'!$R$2:$R$175,"Other / mixed comparator",'Master Data'!$I$2:$I$175,"Sweden",'Master Data'!$AD$2:$AD$175,1)=0,"n/a",COUNTIFS('Master Data'!$R$2:$R$175,"Other / mixed comparator",'Master Data'!$I$2:$I$175,"Sweden",'Master Data'!$AC$2:$AC$175,1)/COUNTIFS('Master Data'!$R$2:$R$175,"Other / mixed comparator",'Master Data'!$I$2:$I$175,"Sweden",'Master Data'!$AD$2:$AD$175,1))</f>
        <v>0.5</v>
      </c>
      <c r="D21" s="12">
        <f>IF(COUNTIFS('Master Data'!$R$2:$R$175,"Other / mixed comparator",'Master Data'!$I$2:$I$175,"Denmark",'Master Data'!$AD$2:$AD$175,1)=0,"n/a",COUNTIFS('Master Data'!$R$2:$R$175,"Other / mixed comparator",'Master Data'!$I$2:$I$175,"Denmark",'Master Data'!$AC$2:$AC$175,1)/COUNTIFS('Master Data'!$R$2:$R$175,"Other / mixed comparator",'Master Data'!$I$2:$I$175,"Denmark",'Master Data'!$AD$2:$AD$175,1))</f>
        <v>0.7142857142857143</v>
      </c>
      <c r="E21" s="12">
        <f>IF(COUNTIFS('Master Data'!$R$2:$R$175,"Other / mixed comparator",'Master Data'!$I$2:$I$175,"Norway",'Master Data'!$AD$2:$AD$175,1)=0,"n/a",COUNTIFS('Master Data'!$R$2:$R$175,"Other / mixed comparator",'Master Data'!$I$2:$I$175,"Norway",'Master Data'!$AC$2:$AC$175,1)/COUNTIFS('Master Data'!$R$2:$R$175,"Other / mixed comparator",'Master Data'!$I$2:$I$175,"Norway",'Master Data'!$AD$2:$AD$175,1))</f>
        <v>0.375</v>
      </c>
    </row>
    <row r="22" spans="2:6" x14ac:dyDescent="0.2">
      <c r="B22" s="11" t="s">
        <v>221</v>
      </c>
      <c r="C22" s="12">
        <f>IF(COUNTIFS('Master Data'!$R$2:$R$175,"Not applicable / Not assessed",'Master Data'!$I$2:$I$175,"Sweden",'Master Data'!$AD$2:$AD$175,1)=0,"n/a",COUNTIFS('Master Data'!$R$2:$R$175,"Not applicable / Not assessed",'Master Data'!$I$2:$I$175,"Sweden",'Master Data'!$AC$2:$AC$175,1)/COUNTIFS('Master Data'!$R$2:$R$175,"Not applicable / Not assessed",'Master Data'!$I$2:$I$175,"Sweden",'Master Data'!$AD$2:$AD$175,1))</f>
        <v>0</v>
      </c>
      <c r="D22" s="12" t="str">
        <f>IF(COUNTIFS('Master Data'!$R$2:$R$175,"Not applicable / Not assessed",'Master Data'!$I$2:$I$175,"Denmark",'Master Data'!$AD$2:$AD$175,1)=0,"n/a",COUNTIFS('Master Data'!$R$2:$R$175,"Not applicable / Not assessed",'Master Data'!$I$2:$I$175,"Denmark",'Master Data'!$AC$2:$AC$175,1)/COUNTIFS('Master Data'!$R$2:$R$175,"Not applicable / Not assessed",'Master Data'!$I$2:$I$175,"Denmark",'Master Data'!$AD$2:$AD$175,1))</f>
        <v>n/a</v>
      </c>
      <c r="E22" s="12" t="str">
        <f>IF(COUNTIFS('Master Data'!$R$2:$R$175,"Not applicable / Not assessed",'Master Data'!$I$2:$I$175,"Norway",'Master Data'!$AD$2:$AD$175,1)=0,"n/a",COUNTIFS('Master Data'!$R$2:$R$175,"Not applicable / Not assessed",'Master Data'!$I$2:$I$175,"Norway",'Master Data'!$AC$2:$AC$175,1)/COUNTIFS('Master Data'!$R$2:$R$175,"Not applicable / Not assessed",'Master Data'!$I$2:$I$175,"Norway",'Master Data'!$AD$2:$AD$175,1))</f>
        <v>n/a</v>
      </c>
    </row>
    <row r="25" spans="2:6" x14ac:dyDescent="0.2">
      <c r="B25" s="9" t="s">
        <v>1689</v>
      </c>
    </row>
    <row r="26" spans="2:6" ht="28" x14ac:dyDescent="0.2">
      <c r="B26" s="10" t="s">
        <v>1690</v>
      </c>
      <c r="C26" s="10" t="s">
        <v>1691</v>
      </c>
      <c r="D26" s="10" t="s">
        <v>1692</v>
      </c>
      <c r="E26" s="10" t="s">
        <v>1693</v>
      </c>
      <c r="F26" s="10" t="s">
        <v>1694</v>
      </c>
    </row>
    <row r="27" spans="2:6" x14ac:dyDescent="0.2">
      <c r="B27" s="11" t="s">
        <v>1695</v>
      </c>
      <c r="C27" s="3" t="s">
        <v>1696</v>
      </c>
      <c r="D27" s="3" t="s">
        <v>1697</v>
      </c>
      <c r="E27" s="3">
        <v>0.35899999999999999</v>
      </c>
      <c r="F27" s="17" t="s">
        <v>1698</v>
      </c>
    </row>
    <row r="29" spans="2:6" ht="78" x14ac:dyDescent="0.2">
      <c r="B29" s="13" t="s">
        <v>1699</v>
      </c>
    </row>
  </sheetData>
  <pageMargins left="0.75" right="0.75" top="1" bottom="1" header="0.5" footer="0.5"/>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2:E35"/>
  <sheetViews>
    <sheetView showGridLines="0" workbookViewId="0"/>
  </sheetViews>
  <sheetFormatPr baseColWidth="10" defaultColWidth="8.83203125" defaultRowHeight="15" x14ac:dyDescent="0.2"/>
  <cols>
    <col min="1" max="1" width="3" customWidth="1"/>
    <col min="2" max="2" width="28" customWidth="1"/>
    <col min="3" max="6" width="14" customWidth="1"/>
  </cols>
  <sheetData>
    <row r="2" spans="2:5" ht="18" x14ac:dyDescent="0.2">
      <c r="B2" s="4" t="s">
        <v>1700</v>
      </c>
    </row>
    <row r="3" spans="2:5" ht="169" x14ac:dyDescent="0.2">
      <c r="B3" s="8" t="s">
        <v>1701</v>
      </c>
    </row>
    <row r="5" spans="2:5" x14ac:dyDescent="0.2">
      <c r="B5" s="9" t="s">
        <v>1702</v>
      </c>
    </row>
    <row r="6" spans="2:5" x14ac:dyDescent="0.2">
      <c r="B6" s="10" t="s">
        <v>1703</v>
      </c>
      <c r="C6" s="10" t="s">
        <v>80</v>
      </c>
      <c r="D6" s="10" t="s">
        <v>99</v>
      </c>
      <c r="E6" s="10" t="s">
        <v>113</v>
      </c>
    </row>
    <row r="7" spans="2:5" x14ac:dyDescent="0.2">
      <c r="B7" s="11">
        <v>2016</v>
      </c>
      <c r="C7" s="3">
        <f>COUNTIFS('Master Data'!$I$2:$I$175,"Sweden",'Master Data'!$P$2:$P$175,2016)</f>
        <v>1</v>
      </c>
      <c r="D7" s="3">
        <f>COUNTIFS('Master Data'!$I$2:$I$175,"Denmark",'Master Data'!$P$2:$P$175,2016)</f>
        <v>0</v>
      </c>
      <c r="E7" s="3">
        <f>COUNTIFS('Master Data'!$I$2:$I$175,"Norway",'Master Data'!$P$2:$P$175,2016)</f>
        <v>0</v>
      </c>
    </row>
    <row r="8" spans="2:5" x14ac:dyDescent="0.2">
      <c r="B8" s="11">
        <v>2017</v>
      </c>
      <c r="C8" s="3">
        <f>COUNTIFS('Master Data'!$I$2:$I$175,"Sweden",'Master Data'!$P$2:$P$175,2017)</f>
        <v>1</v>
      </c>
      <c r="D8" s="3">
        <f>COUNTIFS('Master Data'!$I$2:$I$175,"Denmark",'Master Data'!$P$2:$P$175,2017)</f>
        <v>1</v>
      </c>
      <c r="E8" s="3">
        <f>COUNTIFS('Master Data'!$I$2:$I$175,"Norway",'Master Data'!$P$2:$P$175,2017)</f>
        <v>1</v>
      </c>
    </row>
    <row r="9" spans="2:5" x14ac:dyDescent="0.2">
      <c r="B9" s="11">
        <v>2018</v>
      </c>
      <c r="C9" s="3">
        <f>COUNTIFS('Master Data'!$I$2:$I$175,"Sweden",'Master Data'!$P$2:$P$175,2018)</f>
        <v>2</v>
      </c>
      <c r="D9" s="3">
        <f>COUNTIFS('Master Data'!$I$2:$I$175,"Denmark",'Master Data'!$P$2:$P$175,2018)</f>
        <v>4</v>
      </c>
      <c r="E9" s="3">
        <f>COUNTIFS('Master Data'!$I$2:$I$175,"Norway",'Master Data'!$P$2:$P$175,2018)</f>
        <v>3</v>
      </c>
    </row>
    <row r="10" spans="2:5" x14ac:dyDescent="0.2">
      <c r="B10" s="11">
        <v>2019</v>
      </c>
      <c r="C10" s="3">
        <f>COUNTIFS('Master Data'!$I$2:$I$175,"Sweden",'Master Data'!$P$2:$P$175,2019)</f>
        <v>4</v>
      </c>
      <c r="D10" s="3">
        <f>COUNTIFS('Master Data'!$I$2:$I$175,"Denmark",'Master Data'!$P$2:$P$175,2019)</f>
        <v>3</v>
      </c>
      <c r="E10" s="3">
        <f>COUNTIFS('Master Data'!$I$2:$I$175,"Norway",'Master Data'!$P$2:$P$175,2019)</f>
        <v>1</v>
      </c>
    </row>
    <row r="11" spans="2:5" x14ac:dyDescent="0.2">
      <c r="B11" s="11">
        <v>2020</v>
      </c>
      <c r="C11" s="3">
        <f>COUNTIFS('Master Data'!$I$2:$I$175,"Sweden",'Master Data'!$P$2:$P$175,2020)</f>
        <v>1</v>
      </c>
      <c r="D11" s="3">
        <f>COUNTIFS('Master Data'!$I$2:$I$175,"Denmark",'Master Data'!$P$2:$P$175,2020)</f>
        <v>4</v>
      </c>
      <c r="E11" s="3">
        <f>COUNTIFS('Master Data'!$I$2:$I$175,"Norway",'Master Data'!$P$2:$P$175,2020)</f>
        <v>0</v>
      </c>
    </row>
    <row r="12" spans="2:5" x14ac:dyDescent="0.2">
      <c r="B12" s="11">
        <v>2021</v>
      </c>
      <c r="C12" s="3">
        <f>COUNTIFS('Master Data'!$I$2:$I$175,"Sweden",'Master Data'!$P$2:$P$175,2021)</f>
        <v>5</v>
      </c>
      <c r="D12" s="3">
        <f>COUNTIFS('Master Data'!$I$2:$I$175,"Denmark",'Master Data'!$P$2:$P$175,2021)</f>
        <v>4</v>
      </c>
      <c r="E12" s="3">
        <f>COUNTIFS('Master Data'!$I$2:$I$175,"Norway",'Master Data'!$P$2:$P$175,2021)</f>
        <v>4</v>
      </c>
    </row>
    <row r="13" spans="2:5" x14ac:dyDescent="0.2">
      <c r="B13" s="11">
        <v>2022</v>
      </c>
      <c r="C13" s="3">
        <f>COUNTIFS('Master Data'!$I$2:$I$175,"Sweden",'Master Data'!$P$2:$P$175,2022)</f>
        <v>4</v>
      </c>
      <c r="D13" s="3">
        <f>COUNTIFS('Master Data'!$I$2:$I$175,"Denmark",'Master Data'!$P$2:$P$175,2022)</f>
        <v>3</v>
      </c>
      <c r="E13" s="3">
        <f>COUNTIFS('Master Data'!$I$2:$I$175,"Norway",'Master Data'!$P$2:$P$175,2022)</f>
        <v>12</v>
      </c>
    </row>
    <row r="14" spans="2:5" x14ac:dyDescent="0.2">
      <c r="B14" s="11">
        <v>2023</v>
      </c>
      <c r="C14" s="3">
        <f>COUNTIFS('Master Data'!$I$2:$I$175,"Sweden",'Master Data'!$P$2:$P$175,2023)</f>
        <v>6</v>
      </c>
      <c r="D14" s="3">
        <f>COUNTIFS('Master Data'!$I$2:$I$175,"Denmark",'Master Data'!$P$2:$P$175,2023)</f>
        <v>2</v>
      </c>
      <c r="E14" s="3">
        <f>COUNTIFS('Master Data'!$I$2:$I$175,"Norway",'Master Data'!$P$2:$P$175,2023)</f>
        <v>4</v>
      </c>
    </row>
    <row r="15" spans="2:5" x14ac:dyDescent="0.2">
      <c r="B15" s="11">
        <v>2024</v>
      </c>
      <c r="C15" s="3">
        <f>COUNTIFS('Master Data'!$I$2:$I$175,"Sweden",'Master Data'!$P$2:$P$175,2024)</f>
        <v>7</v>
      </c>
      <c r="D15" s="3">
        <f>COUNTIFS('Master Data'!$I$2:$I$175,"Denmark",'Master Data'!$P$2:$P$175,2024)</f>
        <v>8</v>
      </c>
      <c r="E15" s="3">
        <f>COUNTIFS('Master Data'!$I$2:$I$175,"Norway",'Master Data'!$P$2:$P$175,2024)</f>
        <v>5</v>
      </c>
    </row>
    <row r="16" spans="2:5" x14ac:dyDescent="0.2">
      <c r="B16" s="11">
        <v>2025</v>
      </c>
      <c r="C16" s="3">
        <f>COUNTIFS('Master Data'!$I$2:$I$175,"Sweden",'Master Data'!$P$2:$P$175,2025)</f>
        <v>13</v>
      </c>
      <c r="D16" s="3">
        <f>COUNTIFS('Master Data'!$I$2:$I$175,"Denmark",'Master Data'!$P$2:$P$175,2025)</f>
        <v>9</v>
      </c>
      <c r="E16" s="3">
        <f>COUNTIFS('Master Data'!$I$2:$I$175,"Norway",'Master Data'!$P$2:$P$175,2025)</f>
        <v>11</v>
      </c>
    </row>
    <row r="17" spans="2:5" x14ac:dyDescent="0.2">
      <c r="B17" s="11">
        <v>2026</v>
      </c>
      <c r="C17" s="3">
        <f>COUNTIFS('Master Data'!$I$2:$I$175,"Sweden",'Master Data'!$P$2:$P$175,2026)</f>
        <v>5</v>
      </c>
      <c r="D17" s="3">
        <f>COUNTIFS('Master Data'!$I$2:$I$175,"Denmark",'Master Data'!$P$2:$P$175,2026)</f>
        <v>3</v>
      </c>
      <c r="E17" s="3">
        <f>COUNTIFS('Master Data'!$I$2:$I$175,"Norway",'Master Data'!$P$2:$P$175,2026)</f>
        <v>5</v>
      </c>
    </row>
    <row r="20" spans="2:5" x14ac:dyDescent="0.2">
      <c r="B20" s="9" t="s">
        <v>1704</v>
      </c>
    </row>
    <row r="21" spans="2:5" x14ac:dyDescent="0.2">
      <c r="B21" s="10" t="s">
        <v>1705</v>
      </c>
      <c r="C21" s="10" t="s">
        <v>80</v>
      </c>
      <c r="D21" s="10" t="s">
        <v>99</v>
      </c>
      <c r="E21" s="10" t="s">
        <v>113</v>
      </c>
    </row>
    <row r="22" spans="2:5" x14ac:dyDescent="0.2">
      <c r="B22" s="11" t="s">
        <v>103</v>
      </c>
      <c r="C22" s="18">
        <f>IFERROR(AVERAGEIFS('Master Data'!$P$2:$P$175,'Master Data'!$I$2:$I$175,"Sweden",'Master Data'!$N$2:$N$175,"Broad"),"n/a")</f>
        <v>2020</v>
      </c>
      <c r="D22" s="18">
        <f>IFERROR(AVERAGEIFS('Master Data'!$P$2:$P$175,'Master Data'!$I$2:$I$175,"Denmark",'Master Data'!$N$2:$N$175,"Broad"),"n/a")</f>
        <v>2022.3846153846155</v>
      </c>
      <c r="E22" s="18">
        <f>IFERROR(AVERAGEIFS('Master Data'!$P$2:$P$175,'Master Data'!$I$2:$I$175,"Norway",'Master Data'!$N$2:$N$175,"Broad"),"n/a")</f>
        <v>2022.1111111111111</v>
      </c>
    </row>
    <row r="23" spans="2:5" x14ac:dyDescent="0.2">
      <c r="B23" s="11" t="s">
        <v>134</v>
      </c>
      <c r="C23" s="18">
        <f>IFERROR(AVERAGEIFS('Master Data'!$P$2:$P$175,'Master Data'!$I$2:$I$175,"Sweden",'Master Data'!$N$2:$N$175,"Restricted"),"n/a")</f>
        <v>2022.6875</v>
      </c>
      <c r="D23" s="18">
        <f>IFERROR(AVERAGEIFS('Master Data'!$P$2:$P$175,'Master Data'!$I$2:$I$175,"Denmark",'Master Data'!$N$2:$N$175,"Restricted"),"n/a")</f>
        <v>2022</v>
      </c>
      <c r="E23" s="18">
        <f>IFERROR(AVERAGEIFS('Master Data'!$P$2:$P$175,'Master Data'!$I$2:$I$175,"Norway",'Master Data'!$N$2:$N$175,"Restricted"),"n/a")</f>
        <v>2021.7142857142858</v>
      </c>
    </row>
    <row r="26" spans="2:5" x14ac:dyDescent="0.2">
      <c r="B26" s="9" t="s">
        <v>1706</v>
      </c>
    </row>
    <row r="27" spans="2:5" ht="28" x14ac:dyDescent="0.2">
      <c r="B27" s="10" t="s">
        <v>1636</v>
      </c>
      <c r="C27" s="10" t="s">
        <v>1707</v>
      </c>
      <c r="D27" s="10" t="s">
        <v>1708</v>
      </c>
    </row>
    <row r="28" spans="2:5" x14ac:dyDescent="0.2">
      <c r="B28" s="11" t="s">
        <v>98</v>
      </c>
      <c r="C28" s="18">
        <f>IFERROR(AVERAGEIFS('Master Data'!$P$2:$P$175,'Master Data'!$AH$2:$AH$175,"Gene therapy"),"n/a")</f>
        <v>2023.1428571428571</v>
      </c>
      <c r="D28" s="3">
        <f>COUNTIFS('Master Data'!$AH$2:$AH$175,"Gene therapy",'Master Data'!$P$2:$P$175,"&lt;&gt;"&amp;"")</f>
        <v>21</v>
      </c>
    </row>
    <row r="29" spans="2:5" x14ac:dyDescent="0.2">
      <c r="B29" s="11" t="s">
        <v>1347</v>
      </c>
      <c r="C29" s="18">
        <f>IFERROR(AVERAGEIFS('Master Data'!$P$2:$P$175,'Master Data'!$AH$2:$AH$175,"Cell therapy"),"n/a")</f>
        <v>2022.5294117647059</v>
      </c>
      <c r="D29" s="3">
        <f>COUNTIFS('Master Data'!$AH$2:$AH$175,"Cell therapy",'Master Data'!$P$2:$P$175,"&lt;&gt;"&amp;"")</f>
        <v>17</v>
      </c>
    </row>
    <row r="30" spans="2:5" x14ac:dyDescent="0.2">
      <c r="B30" s="11" t="s">
        <v>178</v>
      </c>
      <c r="C30" s="18">
        <f>IFERROR(AVERAGEIFS('Master Data'!$P$2:$P$175,'Master Data'!$AH$2:$AH$175,"RNA-targeted"),"n/a")</f>
        <v>2021.6</v>
      </c>
      <c r="D30" s="3">
        <f>COUNTIFS('Master Data'!$AH$2:$AH$175,"RNA-targeted",'Master Data'!$P$2:$P$175,"&lt;&gt;"&amp;"")</f>
        <v>15</v>
      </c>
    </row>
    <row r="31" spans="2:5" x14ac:dyDescent="0.2">
      <c r="B31" s="11" t="s">
        <v>324</v>
      </c>
      <c r="C31" s="18">
        <f>IFERROR(AVERAGEIFS('Master Data'!$P$2:$P$175,'Master Data'!$AH$2:$AH$175,"Monoclonal antibody"),"n/a")</f>
        <v>2022.7777777777778</v>
      </c>
      <c r="D31" s="3">
        <f>COUNTIFS('Master Data'!$AH$2:$AH$175,"Monoclonal antibody",'Master Data'!$P$2:$P$175,"&lt;&gt;"&amp;"")</f>
        <v>27</v>
      </c>
    </row>
    <row r="32" spans="2:5" x14ac:dyDescent="0.2">
      <c r="B32" s="11" t="s">
        <v>512</v>
      </c>
      <c r="C32" s="18">
        <f>IFERROR(AVERAGEIFS('Master Data'!$P$2:$P$175,'Master Data'!$AH$2:$AH$175,"Enzyme replacement therapy"),"n/a")</f>
        <v>2022.8947368421052</v>
      </c>
      <c r="D32" s="3">
        <f>COUNTIFS('Master Data'!$AH$2:$AH$175,"Enzyme replacement therapy",'Master Data'!$P$2:$P$175,"&lt;&gt;"&amp;"")</f>
        <v>19</v>
      </c>
    </row>
    <row r="33" spans="2:4" x14ac:dyDescent="0.2">
      <c r="B33" s="11" t="s">
        <v>129</v>
      </c>
      <c r="C33" s="18">
        <f>IFERROR(AVERAGEIFS('Master Data'!$P$2:$P$175,'Master Data'!$AH$2:$AH$175,"Small molecule"),"n/a")</f>
        <v>2022.4137931034484</v>
      </c>
      <c r="D33" s="3">
        <f>COUNTIFS('Master Data'!$AH$2:$AH$175,"Small molecule",'Master Data'!$P$2:$P$175,"&lt;&gt;"&amp;"")</f>
        <v>29</v>
      </c>
    </row>
    <row r="35" spans="2:4" ht="156" x14ac:dyDescent="0.2">
      <c r="B35" s="13" t="s">
        <v>1709</v>
      </c>
    </row>
  </sheetData>
  <pageMargins left="0.75" right="0.75" top="1" bottom="1" header="0.5" footer="0.5"/>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2:G32"/>
  <sheetViews>
    <sheetView showGridLines="0" workbookViewId="0"/>
  </sheetViews>
  <sheetFormatPr baseColWidth="10" defaultColWidth="8.83203125" defaultRowHeight="15" x14ac:dyDescent="0.2"/>
  <cols>
    <col min="1" max="1" width="3" customWidth="1"/>
    <col min="2" max="2" width="20" customWidth="1"/>
    <col min="3" max="7" width="16" customWidth="1"/>
  </cols>
  <sheetData>
    <row r="2" spans="2:7" ht="18" x14ac:dyDescent="0.2">
      <c r="B2" s="4" t="s">
        <v>1710</v>
      </c>
    </row>
    <row r="3" spans="2:7" ht="141" x14ac:dyDescent="0.2">
      <c r="B3" s="8" t="s">
        <v>1711</v>
      </c>
    </row>
    <row r="5" spans="2:7" x14ac:dyDescent="0.2">
      <c r="B5" s="9" t="s">
        <v>1712</v>
      </c>
    </row>
    <row r="6" spans="2:7" ht="332" x14ac:dyDescent="0.2">
      <c r="B6" s="13" t="s">
        <v>1713</v>
      </c>
    </row>
    <row r="8" spans="2:7" x14ac:dyDescent="0.2">
      <c r="B8" s="9" t="s">
        <v>1714</v>
      </c>
    </row>
    <row r="9" spans="2:7" ht="28" x14ac:dyDescent="0.2">
      <c r="B9" s="10" t="s">
        <v>1715</v>
      </c>
      <c r="C9" s="10" t="s">
        <v>1716</v>
      </c>
      <c r="D9" s="10" t="s">
        <v>1717</v>
      </c>
      <c r="E9" s="10" t="s">
        <v>1718</v>
      </c>
      <c r="F9" s="10" t="s">
        <v>1719</v>
      </c>
      <c r="G9" s="10" t="s">
        <v>1720</v>
      </c>
    </row>
    <row r="10" spans="2:7" x14ac:dyDescent="0.2">
      <c r="B10" s="3" t="s">
        <v>80</v>
      </c>
      <c r="C10" s="3" t="s">
        <v>99</v>
      </c>
      <c r="D10" s="3" t="s">
        <v>1721</v>
      </c>
      <c r="E10" s="3" t="s">
        <v>1722</v>
      </c>
      <c r="F10" s="3">
        <v>0.82110000000000005</v>
      </c>
      <c r="G10" s="3" t="s">
        <v>1723</v>
      </c>
    </row>
    <row r="11" spans="2:7" x14ac:dyDescent="0.2">
      <c r="B11" s="3" t="s">
        <v>80</v>
      </c>
      <c r="C11" s="3" t="s">
        <v>113</v>
      </c>
      <c r="D11" s="3" t="s">
        <v>1721</v>
      </c>
      <c r="E11" s="3" t="s">
        <v>1724</v>
      </c>
      <c r="F11" s="3">
        <v>0.81950000000000001</v>
      </c>
      <c r="G11" s="3" t="s">
        <v>1723</v>
      </c>
    </row>
    <row r="12" spans="2:7" x14ac:dyDescent="0.2">
      <c r="B12" s="3" t="s">
        <v>99</v>
      </c>
      <c r="C12" s="3" t="s">
        <v>113</v>
      </c>
      <c r="D12" s="3" t="s">
        <v>1722</v>
      </c>
      <c r="E12" s="3" t="s">
        <v>1724</v>
      </c>
      <c r="F12" s="3">
        <v>0.63549999999999995</v>
      </c>
      <c r="G12" s="3" t="s">
        <v>1723</v>
      </c>
    </row>
    <row r="14" spans="2:7" ht="130" x14ac:dyDescent="0.2">
      <c r="B14" s="13" t="s">
        <v>1725</v>
      </c>
    </row>
    <row r="17" spans="2:2" x14ac:dyDescent="0.2">
      <c r="B17" s="9" t="s">
        <v>1726</v>
      </c>
    </row>
    <row r="18" spans="2:2" ht="208" x14ac:dyDescent="0.2">
      <c r="B18" s="13" t="s">
        <v>1727</v>
      </c>
    </row>
    <row r="21" spans="2:2" x14ac:dyDescent="0.2">
      <c r="B21" s="9" t="s">
        <v>1728</v>
      </c>
    </row>
    <row r="22" spans="2:2" ht="272" x14ac:dyDescent="0.2">
      <c r="B22" s="13" t="s">
        <v>1729</v>
      </c>
    </row>
    <row r="24" spans="2:2" ht="104" x14ac:dyDescent="0.2">
      <c r="B24" s="13" t="s">
        <v>1730</v>
      </c>
    </row>
    <row r="27" spans="2:2" x14ac:dyDescent="0.2">
      <c r="B27" s="9" t="s">
        <v>1731</v>
      </c>
    </row>
    <row r="28" spans="2:2" ht="409.6" x14ac:dyDescent="0.2">
      <c r="B28" s="13" t="s">
        <v>1732</v>
      </c>
    </row>
    <row r="31" spans="2:2" x14ac:dyDescent="0.2">
      <c r="B31" s="9" t="s">
        <v>1733</v>
      </c>
    </row>
    <row r="32" spans="2:2" ht="221" x14ac:dyDescent="0.2">
      <c r="B32" s="13" t="s">
        <v>1734</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2:J112"/>
  <sheetViews>
    <sheetView showGridLines="0" topLeftCell="A59" zoomScale="131" workbookViewId="0">
      <selection activeCell="B105" sqref="B105"/>
    </sheetView>
  </sheetViews>
  <sheetFormatPr baseColWidth="10" defaultColWidth="8.83203125" defaultRowHeight="15" x14ac:dyDescent="0.2"/>
  <cols>
    <col min="1" max="1" width="3" customWidth="1"/>
    <col min="2" max="2" width="30" customWidth="1"/>
    <col min="3" max="3" width="47.33203125" bestFit="1" customWidth="1"/>
    <col min="4" max="4" width="16" customWidth="1"/>
    <col min="5" max="5" width="26" bestFit="1" customWidth="1"/>
    <col min="6" max="6" width="88.33203125" bestFit="1" customWidth="1"/>
    <col min="7" max="8" width="16" customWidth="1"/>
    <col min="9" max="9" width="86.6640625" bestFit="1" customWidth="1"/>
    <col min="10" max="10" width="16" customWidth="1"/>
  </cols>
  <sheetData>
    <row r="2" spans="2:10" ht="18" x14ac:dyDescent="0.2">
      <c r="B2" s="4" t="s">
        <v>1735</v>
      </c>
    </row>
    <row r="3" spans="2:10" x14ac:dyDescent="0.2">
      <c r="B3" s="8"/>
    </row>
    <row r="5" spans="2:10" x14ac:dyDescent="0.2">
      <c r="B5" s="42" t="s">
        <v>1736</v>
      </c>
    </row>
    <row r="7" spans="2:10" x14ac:dyDescent="0.2">
      <c r="B7" s="9" t="s">
        <v>1737</v>
      </c>
    </row>
    <row r="8" spans="2:10" ht="28" x14ac:dyDescent="0.2">
      <c r="B8" s="10" t="s">
        <v>44</v>
      </c>
      <c r="C8" s="10" t="s">
        <v>102</v>
      </c>
      <c r="D8" s="10" t="s">
        <v>1738</v>
      </c>
      <c r="E8" s="10" t="s">
        <v>84</v>
      </c>
      <c r="F8" s="10" t="s">
        <v>242</v>
      </c>
      <c r="G8" s="10" t="s">
        <v>1739</v>
      </c>
      <c r="H8" s="10" t="s">
        <v>1664</v>
      </c>
      <c r="I8" s="10" t="s">
        <v>1740</v>
      </c>
      <c r="J8" s="10" t="s">
        <v>1741</v>
      </c>
    </row>
    <row r="9" spans="2:10" x14ac:dyDescent="0.2">
      <c r="B9" s="11" t="s">
        <v>80</v>
      </c>
      <c r="C9" s="3">
        <f>COUNTIFS('Master Data'!$I$2:$I$175,"Sweden",'Master Data'!$P$2:$P$175,"&gt;=2020",'Master Data'!$M$2:$M$175,"Positive")</f>
        <v>4</v>
      </c>
      <c r="D9" s="3">
        <f>COUNTIFS('Master Data'!$I$2:$I$175,"Sweden",'Master Data'!$P$2:$P$175,"&gt;=2020",'Master Data'!$M$2:$M$175,"Restricted Positive")</f>
        <v>12</v>
      </c>
      <c r="E9" s="3">
        <f>COUNTIFS('Master Data'!$I$2:$I$175,"Sweden",'Master Data'!$P$2:$P$175,"&gt;=2020",'Master Data'!$M$2:$M$175,"Negative")</f>
        <v>14</v>
      </c>
      <c r="F9" s="3">
        <f>COUNTIFS('Master Data'!$I$2:$I$175,"Sweden",'Master Data'!$P$2:$P$175,"&gt;=2020",'Master Data'!$M$2:$M$175,"Withdrawn")</f>
        <v>2</v>
      </c>
      <c r="G9" s="11">
        <f>SUM(C9:F9)</f>
        <v>32</v>
      </c>
      <c r="H9" s="14">
        <f>IF(G9=0,"",((C9+D9)/G9))</f>
        <v>0.5</v>
      </c>
      <c r="I9" s="21">
        <f>IF(G9=0,"",MAX(0,((((C9+D9)/G9)+1.959963985^2/(2*G9))/(1+1.959963985^2/G9))-((1.959963985*SQRT((((C9+D9)/G9)*(1-((C9+D9)/G9))/G9)+(1.959963985^2/(4*G9^2))))/(1+1.959963985^2/G9))))</f>
        <v>0.33630882865897843</v>
      </c>
      <c r="J9" s="21">
        <f>IF(G9=0,"",MIN(1,((((C9+D9)/G9)+1.959963985^2/(2*G9))/(1+1.959963985^2/G9))+((1.959963985*SQRT((((C9+D9)/G9)*(1-((C9+D9)/G9))/G9)+(1.959963985^2/(4*G9^2))))/(1+1.959963985^2/G9))))</f>
        <v>0.66369117134102162</v>
      </c>
    </row>
    <row r="10" spans="2:10" x14ac:dyDescent="0.2">
      <c r="B10" s="11" t="s">
        <v>99</v>
      </c>
      <c r="C10" s="3">
        <f>COUNTIFS('Master Data'!$I$2:$I$175,"Denmark",'Master Data'!$P$2:$P$175,"&gt;=2020",'Master Data'!$M$2:$M$175,"Positive")</f>
        <v>12</v>
      </c>
      <c r="D10" s="3">
        <f>COUNTIFS('Master Data'!$I$2:$I$175,"Denmark",'Master Data'!$P$2:$P$175,"&gt;=2020",'Master Data'!$M$2:$M$175,"Restricted Positive")</f>
        <v>7</v>
      </c>
      <c r="E10" s="3">
        <f>COUNTIFS('Master Data'!$I$2:$I$175,"Denmark",'Master Data'!$P$2:$P$175,"&gt;=2020",'Master Data'!$M$2:$M$175,"Negative")</f>
        <v>8</v>
      </c>
      <c r="F10" s="3">
        <f>COUNTIFS('Master Data'!$I$2:$I$175,"Denmark",'Master Data'!$P$2:$P$175,"&gt;=2020",'Master Data'!$M$2:$M$175,"Withdrawn")</f>
        <v>2</v>
      </c>
      <c r="G10" s="11">
        <f>SUM(C10:F10)</f>
        <v>29</v>
      </c>
      <c r="H10" s="14">
        <f>IF(G10=0,"",((C10+D10)/G10))</f>
        <v>0.65517241379310343</v>
      </c>
      <c r="I10" s="21">
        <f>IF(G10=0,"",MAX(0,((((C10+D10)/G10)+1.959963985^2/(2*G10))/(1+1.959963985^2/G10))-((1.959963985*SQRT((((C10+D10)/G10)*(1-((C10+D10)/G10))/G10)+(1.959963985^2/(4*G10^2))))/(1+1.959963985^2/G10))))</f>
        <v>0.47345104086292633</v>
      </c>
      <c r="J10" s="21">
        <f>IF(G10=0,"",MIN(1,((((C10+D10)/G10)+1.959963985^2/(2*G10))/(1+1.959963985^2/G10))+((1.959963985*SQRT((((C10+D10)/G10)*(1-((C10+D10)/G10))/G10)+(1.959963985^2/(4*G10^2))))/(1+1.959963985^2/G10))))</f>
        <v>0.80059281476004041</v>
      </c>
    </row>
    <row r="11" spans="2:10" x14ac:dyDescent="0.2">
      <c r="B11" s="11" t="s">
        <v>113</v>
      </c>
      <c r="C11" s="3">
        <f>COUNTIFS('Master Data'!$I$2:$I$175,"Norway",'Master Data'!$P$2:$P$175,"&gt;=2020",'Master Data'!$M$2:$M$175,"Positive")</f>
        <v>8</v>
      </c>
      <c r="D11" s="3">
        <f>COUNTIFS('Master Data'!$I$2:$I$175,"Norway",'Master Data'!$P$2:$P$175,"&gt;=2020",'Master Data'!$M$2:$M$175,"Restricted Positive")</f>
        <v>5</v>
      </c>
      <c r="E11" s="3">
        <f>COUNTIFS('Master Data'!$I$2:$I$175,"Norway",'Master Data'!$P$2:$P$175,"&gt;=2020",'Master Data'!$M$2:$M$175,"Negative")</f>
        <v>8</v>
      </c>
      <c r="F11" s="3">
        <f>COUNTIFS('Master Data'!$I$2:$I$175,"Norway",'Master Data'!$P$2:$P$175,"&gt;=2020",'Master Data'!$M$2:$M$175,"Withdrawn")</f>
        <v>2</v>
      </c>
      <c r="G11" s="11">
        <f>SUM(C11:F11)</f>
        <v>23</v>
      </c>
      <c r="H11" s="14">
        <f>IF(G11=0,"",((C11+D11)/G11))</f>
        <v>0.56521739130434778</v>
      </c>
      <c r="I11" s="21">
        <f>IF(G11=0,"",MAX(0,((((C11+D11)/G11)+1.959963985^2/(2*G11))/(1+1.959963985^2/G11))-((1.959963985*SQRT((((C11+D11)/G11)*(1-((C11+D11)/G11))/G11)+(1.959963985^2/(4*G11^2))))/(1+1.959963985^2/G11))))</f>
        <v>0.36811375080855979</v>
      </c>
      <c r="J11" s="21">
        <f>IF(G11=0,"",MIN(1,((((C11+D11)/G11)+1.959963985^2/(2*G11))/(1+1.959963985^2/G11))+((1.959963985*SQRT((((C11+D11)/G11)*(1-((C11+D11)/G11))/G11)+(1.959963985^2/(4*G11^2))))/(1+1.959963985^2/G11))))</f>
        <v>0.74365364677735524</v>
      </c>
    </row>
    <row r="13" spans="2:10" x14ac:dyDescent="0.2">
      <c r="B13" s="22" t="s">
        <v>1742</v>
      </c>
      <c r="C13" s="23"/>
      <c r="D13" s="23"/>
      <c r="E13" s="23"/>
      <c r="F13" s="23"/>
      <c r="G13" s="23"/>
      <c r="H13" s="23"/>
      <c r="I13" s="23"/>
      <c r="J13" s="23"/>
    </row>
    <row r="14" spans="2:10" ht="60" customHeight="1" x14ac:dyDescent="0.2">
      <c r="B14" s="38" t="s">
        <v>1743</v>
      </c>
      <c r="C14" s="36"/>
      <c r="D14" s="36"/>
      <c r="E14" s="36"/>
      <c r="F14" s="36"/>
      <c r="G14" s="36"/>
      <c r="H14" s="36"/>
      <c r="I14" s="36"/>
      <c r="J14" s="36"/>
    </row>
    <row r="16" spans="2:10" x14ac:dyDescent="0.2">
      <c r="B16" s="9" t="s">
        <v>1744</v>
      </c>
    </row>
    <row r="17" spans="2:8" x14ac:dyDescent="0.2">
      <c r="B17" s="10" t="s">
        <v>1703</v>
      </c>
      <c r="C17" s="10" t="s">
        <v>1745</v>
      </c>
      <c r="D17" s="10" t="s">
        <v>1746</v>
      </c>
      <c r="E17" s="10" t="s">
        <v>1747</v>
      </c>
      <c r="F17" s="10" t="s">
        <v>1748</v>
      </c>
      <c r="G17" s="10" t="s">
        <v>1749</v>
      </c>
      <c r="H17" s="10" t="s">
        <v>1750</v>
      </c>
    </row>
    <row r="18" spans="2:8" x14ac:dyDescent="0.2">
      <c r="B18" s="11">
        <v>2020</v>
      </c>
      <c r="C18" s="3">
        <f>COUNTIFS('Master Data'!$I$2:$I$175,"Sweden",'Master Data'!$P$2:$P$175,2020,'Master Data'!$M$2:$M$175,"Positive")+COUNTIFS('Master Data'!$I$2:$I$175,"Sweden",'Master Data'!$P$2:$P$175,2020,'Master Data'!$M$2:$M$175,"Restricted Positive")+COUNTIFS('Master Data'!$I$2:$I$175,"Sweden",'Master Data'!$P$2:$P$175,2020,'Master Data'!$M$2:$M$175,"Negative")+COUNTIFS('Master Data'!$I$2:$I$175,"Sweden",'Master Data'!$P$2:$P$175,2020,'Master Data'!$M$2:$M$175,"Withdrawn")</f>
        <v>1</v>
      </c>
      <c r="D18" s="12">
        <f>IF(C18=0,"n/a",(COUNTIFS('Master Data'!$I$2:$I$175,"Sweden",'Master Data'!$P$2:$P$175,2020,'Master Data'!$M$2:$M$175,"Positive")+COUNTIFS('Master Data'!$I$2:$I$175,"Sweden",'Master Data'!$P$2:$P$175,2020,'Master Data'!$M$2:$M$175,"Restricted Positive"))/C18)</f>
        <v>0</v>
      </c>
      <c r="E18" s="3">
        <f>COUNTIFS('Master Data'!$I$2:$I$175,"Denmark",'Master Data'!$P$2:$P$175,2020,'Master Data'!$M$2:$M$175,"Positive")+COUNTIFS('Master Data'!$I$2:$I$175,"Denmark",'Master Data'!$P$2:$P$175,2020,'Master Data'!$M$2:$M$175,"Restricted Positive")+COUNTIFS('Master Data'!$I$2:$I$175,"Denmark",'Master Data'!$P$2:$P$175,2020,'Master Data'!$M$2:$M$175,"Negative")+COUNTIFS('Master Data'!$I$2:$I$175,"Denmark",'Master Data'!$P$2:$P$175,2020,'Master Data'!$M$2:$M$175,"Withdrawn")</f>
        <v>4</v>
      </c>
      <c r="F18" s="12">
        <f>IF(E18=0,"n/a",(COUNTIFS('Master Data'!$I$2:$I$175,"Denmark",'Master Data'!$P$2:$P$175,2020,'Master Data'!$M$2:$M$175,"Positive")+COUNTIFS('Master Data'!$I$2:$I$175,"Denmark",'Master Data'!$P$2:$P$175,2020,'Master Data'!$M$2:$M$175,"Restricted Positive"))/E18)</f>
        <v>0.75</v>
      </c>
      <c r="G18" s="3">
        <f>COUNTIFS('Master Data'!$I$2:$I$175,"Norway",'Master Data'!$P$2:$P$175,2020,'Master Data'!$M$2:$M$175,"Positive")+COUNTIFS('Master Data'!$I$2:$I$175,"Norway",'Master Data'!$P$2:$P$175,2020,'Master Data'!$M$2:$M$175,"Restricted Positive")+COUNTIFS('Master Data'!$I$2:$I$175,"Norway",'Master Data'!$P$2:$P$175,2020,'Master Data'!$M$2:$M$175,"Negative")+COUNTIFS('Master Data'!$I$2:$I$175,"Norway",'Master Data'!$P$2:$P$175,2020,'Master Data'!$M$2:$M$175,"Withdrawn")</f>
        <v>0</v>
      </c>
      <c r="H18" s="12" t="str">
        <f>IF(G18=0,"n/a",(COUNTIFS('Master Data'!$I$2:$I$175,"Norway",'Master Data'!$P$2:$P$175,2020,'Master Data'!$M$2:$M$175,"Positive")+COUNTIFS('Master Data'!$I$2:$I$175,"Norway",'Master Data'!$P$2:$P$175,2020,'Master Data'!$M$2:$M$175,"Restricted Positive"))/G18)</f>
        <v>n/a</v>
      </c>
    </row>
    <row r="19" spans="2:8" x14ac:dyDescent="0.2">
      <c r="B19" s="11">
        <v>2021</v>
      </c>
      <c r="C19" s="3">
        <f>COUNTIFS('Master Data'!$I$2:$I$175,"Sweden",'Master Data'!$P$2:$P$175,2021,'Master Data'!$M$2:$M$175,"Positive")+COUNTIFS('Master Data'!$I$2:$I$175,"Sweden",'Master Data'!$P$2:$P$175,2021,'Master Data'!$M$2:$M$175,"Restricted Positive")+COUNTIFS('Master Data'!$I$2:$I$175,"Sweden",'Master Data'!$P$2:$P$175,2021,'Master Data'!$M$2:$M$175,"Negative")+COUNTIFS('Master Data'!$I$2:$I$175,"Sweden",'Master Data'!$P$2:$P$175,2021,'Master Data'!$M$2:$M$175,"Withdrawn")</f>
        <v>5</v>
      </c>
      <c r="D19" s="12">
        <f>IF(C19=0,"n/a",(COUNTIFS('Master Data'!$I$2:$I$175,"Sweden",'Master Data'!$P$2:$P$175,2021,'Master Data'!$M$2:$M$175,"Positive")+COUNTIFS('Master Data'!$I$2:$I$175,"Sweden",'Master Data'!$P$2:$P$175,2021,'Master Data'!$M$2:$M$175,"Restricted Positive"))/C19)</f>
        <v>0.6</v>
      </c>
      <c r="E19" s="3">
        <f>COUNTIFS('Master Data'!$I$2:$I$175,"Denmark",'Master Data'!$P$2:$P$175,2021,'Master Data'!$M$2:$M$175,"Positive")+COUNTIFS('Master Data'!$I$2:$I$175,"Denmark",'Master Data'!$P$2:$P$175,2021,'Master Data'!$M$2:$M$175,"Restricted Positive")+COUNTIFS('Master Data'!$I$2:$I$175,"Denmark",'Master Data'!$P$2:$P$175,2021,'Master Data'!$M$2:$M$175,"Negative")+COUNTIFS('Master Data'!$I$2:$I$175,"Denmark",'Master Data'!$P$2:$P$175,2021,'Master Data'!$M$2:$M$175,"Withdrawn")</f>
        <v>4</v>
      </c>
      <c r="F19" s="12">
        <f>IF(E19=0,"n/a",(COUNTIFS('Master Data'!$I$2:$I$175,"Denmark",'Master Data'!$P$2:$P$175,2021,'Master Data'!$M$2:$M$175,"Positive")+COUNTIFS('Master Data'!$I$2:$I$175,"Denmark",'Master Data'!$P$2:$P$175,2021,'Master Data'!$M$2:$M$175,"Restricted Positive"))/E19)</f>
        <v>0.75</v>
      </c>
      <c r="G19" s="3">
        <f>COUNTIFS('Master Data'!$I$2:$I$175,"Norway",'Master Data'!$P$2:$P$175,2021,'Master Data'!$M$2:$M$175,"Positive")+COUNTIFS('Master Data'!$I$2:$I$175,"Norway",'Master Data'!$P$2:$P$175,2021,'Master Data'!$M$2:$M$175,"Restricted Positive")+COUNTIFS('Master Data'!$I$2:$I$175,"Norway",'Master Data'!$P$2:$P$175,2021,'Master Data'!$M$2:$M$175,"Negative")+COUNTIFS('Master Data'!$I$2:$I$175,"Norway",'Master Data'!$P$2:$P$175,2021,'Master Data'!$M$2:$M$175,"Withdrawn")</f>
        <v>4</v>
      </c>
      <c r="H19" s="12">
        <f>IF(G19=0,"n/a",(COUNTIFS('Master Data'!$I$2:$I$175,"Norway",'Master Data'!$P$2:$P$175,2021,'Master Data'!$M$2:$M$175,"Positive")+COUNTIFS('Master Data'!$I$2:$I$175,"Norway",'Master Data'!$P$2:$P$175,2021,'Master Data'!$M$2:$M$175,"Restricted Positive"))/G19)</f>
        <v>0.75</v>
      </c>
    </row>
    <row r="20" spans="2:8" x14ac:dyDescent="0.2">
      <c r="B20" s="11">
        <v>2022</v>
      </c>
      <c r="C20" s="3">
        <f>COUNTIFS('Master Data'!$I$2:$I$175,"Sweden",'Master Data'!$P$2:$P$175,2022,'Master Data'!$M$2:$M$175,"Positive")+COUNTIFS('Master Data'!$I$2:$I$175,"Sweden",'Master Data'!$P$2:$P$175,2022,'Master Data'!$M$2:$M$175,"Restricted Positive")+COUNTIFS('Master Data'!$I$2:$I$175,"Sweden",'Master Data'!$P$2:$P$175,2022,'Master Data'!$M$2:$M$175,"Negative")+COUNTIFS('Master Data'!$I$2:$I$175,"Sweden",'Master Data'!$P$2:$P$175,2022,'Master Data'!$M$2:$M$175,"Withdrawn")</f>
        <v>3</v>
      </c>
      <c r="D20" s="12">
        <f>IF(C20=0,"n/a",(COUNTIFS('Master Data'!$I$2:$I$175,"Sweden",'Master Data'!$P$2:$P$175,2022,'Master Data'!$M$2:$M$175,"Positive")+COUNTIFS('Master Data'!$I$2:$I$175,"Sweden",'Master Data'!$P$2:$P$175,2022,'Master Data'!$M$2:$M$175,"Restricted Positive"))/C20)</f>
        <v>1</v>
      </c>
      <c r="E20" s="3">
        <f>COUNTIFS('Master Data'!$I$2:$I$175,"Denmark",'Master Data'!$P$2:$P$175,2022,'Master Data'!$M$2:$M$175,"Positive")+COUNTIFS('Master Data'!$I$2:$I$175,"Denmark",'Master Data'!$P$2:$P$175,2022,'Master Data'!$M$2:$M$175,"Restricted Positive")+COUNTIFS('Master Data'!$I$2:$I$175,"Denmark",'Master Data'!$P$2:$P$175,2022,'Master Data'!$M$2:$M$175,"Negative")+COUNTIFS('Master Data'!$I$2:$I$175,"Denmark",'Master Data'!$P$2:$P$175,2022,'Master Data'!$M$2:$M$175,"Withdrawn")</f>
        <v>2</v>
      </c>
      <c r="F20" s="12">
        <f>IF(E20=0,"n/a",(COUNTIFS('Master Data'!$I$2:$I$175,"Denmark",'Master Data'!$P$2:$P$175,2022,'Master Data'!$M$2:$M$175,"Positive")+COUNTIFS('Master Data'!$I$2:$I$175,"Denmark",'Master Data'!$P$2:$P$175,2022,'Master Data'!$M$2:$M$175,"Restricted Positive"))/E20)</f>
        <v>0.5</v>
      </c>
      <c r="G20" s="3">
        <f>COUNTIFS('Master Data'!$I$2:$I$175,"Norway",'Master Data'!$P$2:$P$175,2022,'Master Data'!$M$2:$M$175,"Positive")+COUNTIFS('Master Data'!$I$2:$I$175,"Norway",'Master Data'!$P$2:$P$175,2022,'Master Data'!$M$2:$M$175,"Restricted Positive")+COUNTIFS('Master Data'!$I$2:$I$175,"Norway",'Master Data'!$P$2:$P$175,2022,'Master Data'!$M$2:$M$175,"Negative")+COUNTIFS('Master Data'!$I$2:$I$175,"Norway",'Master Data'!$P$2:$P$175,2022,'Master Data'!$M$2:$M$175,"Withdrawn")</f>
        <v>5</v>
      </c>
      <c r="H20" s="12">
        <f>IF(G20=0,"n/a",(COUNTIFS('Master Data'!$I$2:$I$175,"Norway",'Master Data'!$P$2:$P$175,2022,'Master Data'!$M$2:$M$175,"Positive")+COUNTIFS('Master Data'!$I$2:$I$175,"Norway",'Master Data'!$P$2:$P$175,2022,'Master Data'!$M$2:$M$175,"Restricted Positive"))/G20)</f>
        <v>0.8</v>
      </c>
    </row>
    <row r="21" spans="2:8" x14ac:dyDescent="0.2">
      <c r="B21" s="11">
        <v>2023</v>
      </c>
      <c r="C21" s="3">
        <f>COUNTIFS('Master Data'!$I$2:$I$175,"Sweden",'Master Data'!$P$2:$P$175,2023,'Master Data'!$M$2:$M$175,"Positive")+COUNTIFS('Master Data'!$I$2:$I$175,"Sweden",'Master Data'!$P$2:$P$175,2023,'Master Data'!$M$2:$M$175,"Restricted Positive")+COUNTIFS('Master Data'!$I$2:$I$175,"Sweden",'Master Data'!$P$2:$P$175,2023,'Master Data'!$M$2:$M$175,"Negative")+COUNTIFS('Master Data'!$I$2:$I$175,"Sweden",'Master Data'!$P$2:$P$175,2023,'Master Data'!$M$2:$M$175,"Withdrawn")</f>
        <v>4</v>
      </c>
      <c r="D21" s="12">
        <f>IF(C21=0,"n/a",(COUNTIFS('Master Data'!$I$2:$I$175,"Sweden",'Master Data'!$P$2:$P$175,2023,'Master Data'!$M$2:$M$175,"Positive")+COUNTIFS('Master Data'!$I$2:$I$175,"Sweden",'Master Data'!$P$2:$P$175,2023,'Master Data'!$M$2:$M$175,"Restricted Positive"))/C21)</f>
        <v>0.25</v>
      </c>
      <c r="E21" s="3">
        <f>COUNTIFS('Master Data'!$I$2:$I$175,"Denmark",'Master Data'!$P$2:$P$175,2023,'Master Data'!$M$2:$M$175,"Positive")+COUNTIFS('Master Data'!$I$2:$I$175,"Denmark",'Master Data'!$P$2:$P$175,2023,'Master Data'!$M$2:$M$175,"Restricted Positive")+COUNTIFS('Master Data'!$I$2:$I$175,"Denmark",'Master Data'!$P$2:$P$175,2023,'Master Data'!$M$2:$M$175,"Negative")+COUNTIFS('Master Data'!$I$2:$I$175,"Denmark",'Master Data'!$P$2:$P$175,2023,'Master Data'!$M$2:$M$175,"Withdrawn")</f>
        <v>2</v>
      </c>
      <c r="F21" s="12">
        <f>IF(E21=0,"n/a",(COUNTIFS('Master Data'!$I$2:$I$175,"Denmark",'Master Data'!$P$2:$P$175,2023,'Master Data'!$M$2:$M$175,"Positive")+COUNTIFS('Master Data'!$I$2:$I$175,"Denmark",'Master Data'!$P$2:$P$175,2023,'Master Data'!$M$2:$M$175,"Restricted Positive"))/E21)</f>
        <v>0.5</v>
      </c>
      <c r="G21" s="3">
        <f>COUNTIFS('Master Data'!$I$2:$I$175,"Norway",'Master Data'!$P$2:$P$175,2023,'Master Data'!$M$2:$M$175,"Positive")+COUNTIFS('Master Data'!$I$2:$I$175,"Norway",'Master Data'!$P$2:$P$175,2023,'Master Data'!$M$2:$M$175,"Restricted Positive")+COUNTIFS('Master Data'!$I$2:$I$175,"Norway",'Master Data'!$P$2:$P$175,2023,'Master Data'!$M$2:$M$175,"Negative")+COUNTIFS('Master Data'!$I$2:$I$175,"Norway",'Master Data'!$P$2:$P$175,2023,'Master Data'!$M$2:$M$175,"Withdrawn")</f>
        <v>2</v>
      </c>
      <c r="H21" s="12">
        <f>IF(G21=0,"n/a",(COUNTIFS('Master Data'!$I$2:$I$175,"Norway",'Master Data'!$P$2:$P$175,2023,'Master Data'!$M$2:$M$175,"Positive")+COUNTIFS('Master Data'!$I$2:$I$175,"Norway",'Master Data'!$P$2:$P$175,2023,'Master Data'!$M$2:$M$175,"Restricted Positive"))/G21)</f>
        <v>1</v>
      </c>
    </row>
    <row r="22" spans="2:8" x14ac:dyDescent="0.2">
      <c r="B22" s="11">
        <v>2024</v>
      </c>
      <c r="C22" s="3">
        <f>COUNTIFS('Master Data'!$I$2:$I$175,"Sweden",'Master Data'!$P$2:$P$175,2024,'Master Data'!$M$2:$M$175,"Positive")+COUNTIFS('Master Data'!$I$2:$I$175,"Sweden",'Master Data'!$P$2:$P$175,2024,'Master Data'!$M$2:$M$175,"Restricted Positive")+COUNTIFS('Master Data'!$I$2:$I$175,"Sweden",'Master Data'!$P$2:$P$175,2024,'Master Data'!$M$2:$M$175,"Negative")+COUNTIFS('Master Data'!$I$2:$I$175,"Sweden",'Master Data'!$P$2:$P$175,2024,'Master Data'!$M$2:$M$175,"Withdrawn")</f>
        <v>6</v>
      </c>
      <c r="D22" s="12">
        <f>IF(C22=0,"n/a",(COUNTIFS('Master Data'!$I$2:$I$175,"Sweden",'Master Data'!$P$2:$P$175,2024,'Master Data'!$M$2:$M$175,"Positive")+COUNTIFS('Master Data'!$I$2:$I$175,"Sweden",'Master Data'!$P$2:$P$175,2024,'Master Data'!$M$2:$M$175,"Restricted Positive"))/C22)</f>
        <v>0.33333333333333331</v>
      </c>
      <c r="E22" s="3">
        <f>COUNTIFS('Master Data'!$I$2:$I$175,"Denmark",'Master Data'!$P$2:$P$175,2024,'Master Data'!$M$2:$M$175,"Positive")+COUNTIFS('Master Data'!$I$2:$I$175,"Denmark",'Master Data'!$P$2:$P$175,2024,'Master Data'!$M$2:$M$175,"Restricted Positive")+COUNTIFS('Master Data'!$I$2:$I$175,"Denmark",'Master Data'!$P$2:$P$175,2024,'Master Data'!$M$2:$M$175,"Negative")+COUNTIFS('Master Data'!$I$2:$I$175,"Denmark",'Master Data'!$P$2:$P$175,2024,'Master Data'!$M$2:$M$175,"Withdrawn")</f>
        <v>5</v>
      </c>
      <c r="F22" s="12">
        <f>IF(E22=0,"n/a",(COUNTIFS('Master Data'!$I$2:$I$175,"Denmark",'Master Data'!$P$2:$P$175,2024,'Master Data'!$M$2:$M$175,"Positive")+COUNTIFS('Master Data'!$I$2:$I$175,"Denmark",'Master Data'!$P$2:$P$175,2024,'Master Data'!$M$2:$M$175,"Restricted Positive"))/E22)</f>
        <v>0.6</v>
      </c>
      <c r="G22" s="3">
        <f>COUNTIFS('Master Data'!$I$2:$I$175,"Norway",'Master Data'!$P$2:$P$175,2024,'Master Data'!$M$2:$M$175,"Positive")+COUNTIFS('Master Data'!$I$2:$I$175,"Norway",'Master Data'!$P$2:$P$175,2024,'Master Data'!$M$2:$M$175,"Restricted Positive")+COUNTIFS('Master Data'!$I$2:$I$175,"Norway",'Master Data'!$P$2:$P$175,2024,'Master Data'!$M$2:$M$175,"Negative")+COUNTIFS('Master Data'!$I$2:$I$175,"Norway",'Master Data'!$P$2:$P$175,2024,'Master Data'!$M$2:$M$175,"Withdrawn")</f>
        <v>3</v>
      </c>
      <c r="H22" s="12">
        <f>IF(G22=0,"n/a",(COUNTIFS('Master Data'!$I$2:$I$175,"Norway",'Master Data'!$P$2:$P$175,2024,'Master Data'!$M$2:$M$175,"Positive")+COUNTIFS('Master Data'!$I$2:$I$175,"Norway",'Master Data'!$P$2:$P$175,2024,'Master Data'!$M$2:$M$175,"Restricted Positive"))/G22)</f>
        <v>0.66666666666666663</v>
      </c>
    </row>
    <row r="23" spans="2:8" x14ac:dyDescent="0.2">
      <c r="B23" s="11">
        <v>2025</v>
      </c>
      <c r="C23" s="3">
        <f>COUNTIFS('Master Data'!$I$2:$I$175,"Sweden",'Master Data'!$P$2:$P$175,2025,'Master Data'!$M$2:$M$175,"Positive")+COUNTIFS('Master Data'!$I$2:$I$175,"Sweden",'Master Data'!$P$2:$P$175,2025,'Master Data'!$M$2:$M$175,"Restricted Positive")+COUNTIFS('Master Data'!$I$2:$I$175,"Sweden",'Master Data'!$P$2:$P$175,2025,'Master Data'!$M$2:$M$175,"Negative")+COUNTIFS('Master Data'!$I$2:$I$175,"Sweden",'Master Data'!$P$2:$P$175,2025,'Master Data'!$M$2:$M$175,"Withdrawn")</f>
        <v>10</v>
      </c>
      <c r="D23" s="12">
        <f>IF(C23=0,"n/a",(COUNTIFS('Master Data'!$I$2:$I$175,"Sweden",'Master Data'!$P$2:$P$175,2025,'Master Data'!$M$2:$M$175,"Positive")+COUNTIFS('Master Data'!$I$2:$I$175,"Sweden",'Master Data'!$P$2:$P$175,2025,'Master Data'!$M$2:$M$175,"Restricted Positive"))/C23)</f>
        <v>0.4</v>
      </c>
      <c r="E23" s="3">
        <f>COUNTIFS('Master Data'!$I$2:$I$175,"Denmark",'Master Data'!$P$2:$P$175,2025,'Master Data'!$M$2:$M$175,"Positive")+COUNTIFS('Master Data'!$I$2:$I$175,"Denmark",'Master Data'!$P$2:$P$175,2025,'Master Data'!$M$2:$M$175,"Restricted Positive")+COUNTIFS('Master Data'!$I$2:$I$175,"Denmark",'Master Data'!$P$2:$P$175,2025,'Master Data'!$M$2:$M$175,"Negative")+COUNTIFS('Master Data'!$I$2:$I$175,"Denmark",'Master Data'!$P$2:$P$175,2025,'Master Data'!$M$2:$M$175,"Withdrawn")</f>
        <v>9</v>
      </c>
      <c r="F23" s="12">
        <f>IF(E23=0,"n/a",(COUNTIFS('Master Data'!$I$2:$I$175,"Denmark",'Master Data'!$P$2:$P$175,2025,'Master Data'!$M$2:$M$175,"Positive")+COUNTIFS('Master Data'!$I$2:$I$175,"Denmark",'Master Data'!$P$2:$P$175,2025,'Master Data'!$M$2:$M$175,"Restricted Positive"))/E23)</f>
        <v>0.66666666666666663</v>
      </c>
      <c r="G23" s="3">
        <f>COUNTIFS('Master Data'!$I$2:$I$175,"Norway",'Master Data'!$P$2:$P$175,2025,'Master Data'!$M$2:$M$175,"Positive")+COUNTIFS('Master Data'!$I$2:$I$175,"Norway",'Master Data'!$P$2:$P$175,2025,'Master Data'!$M$2:$M$175,"Restricted Positive")+COUNTIFS('Master Data'!$I$2:$I$175,"Norway",'Master Data'!$P$2:$P$175,2025,'Master Data'!$M$2:$M$175,"Negative")+COUNTIFS('Master Data'!$I$2:$I$175,"Norway",'Master Data'!$P$2:$P$175,2025,'Master Data'!$M$2:$M$175,"Withdrawn")</f>
        <v>6</v>
      </c>
      <c r="H23" s="12">
        <f>IF(G23=0,"n/a",(COUNTIFS('Master Data'!$I$2:$I$175,"Norway",'Master Data'!$P$2:$P$175,2025,'Master Data'!$M$2:$M$175,"Positive")+COUNTIFS('Master Data'!$I$2:$I$175,"Norway",'Master Data'!$P$2:$P$175,2025,'Master Data'!$M$2:$M$175,"Restricted Positive"))/G23)</f>
        <v>0</v>
      </c>
    </row>
    <row r="24" spans="2:8" x14ac:dyDescent="0.2">
      <c r="B24" s="11">
        <v>2026</v>
      </c>
      <c r="C24" s="3">
        <f>COUNTIFS('Master Data'!$I$2:$I$175,"Sweden",'Master Data'!$P$2:$P$175,2026,'Master Data'!$M$2:$M$175,"Positive")+COUNTIFS('Master Data'!$I$2:$I$175,"Sweden",'Master Data'!$P$2:$P$175,2026,'Master Data'!$M$2:$M$175,"Restricted Positive")+COUNTIFS('Master Data'!$I$2:$I$175,"Sweden",'Master Data'!$P$2:$P$175,2026,'Master Data'!$M$2:$M$175,"Negative")+COUNTIFS('Master Data'!$I$2:$I$175,"Sweden",'Master Data'!$P$2:$P$175,2026,'Master Data'!$M$2:$M$175,"Withdrawn")</f>
        <v>3</v>
      </c>
      <c r="D24" s="12">
        <f>IF(C24=0,"n/a",(COUNTIFS('Master Data'!$I$2:$I$175,"Sweden",'Master Data'!$P$2:$P$175,2026,'Master Data'!$M$2:$M$175,"Positive")+COUNTIFS('Master Data'!$I$2:$I$175,"Sweden",'Master Data'!$P$2:$P$175,2026,'Master Data'!$M$2:$M$175,"Restricted Positive"))/C24)</f>
        <v>1</v>
      </c>
      <c r="E24" s="3">
        <f>COUNTIFS('Master Data'!$I$2:$I$175,"Denmark",'Master Data'!$P$2:$P$175,2026,'Master Data'!$M$2:$M$175,"Positive")+COUNTIFS('Master Data'!$I$2:$I$175,"Denmark",'Master Data'!$P$2:$P$175,2026,'Master Data'!$M$2:$M$175,"Restricted Positive")+COUNTIFS('Master Data'!$I$2:$I$175,"Denmark",'Master Data'!$P$2:$P$175,2026,'Master Data'!$M$2:$M$175,"Negative")+COUNTIFS('Master Data'!$I$2:$I$175,"Denmark",'Master Data'!$P$2:$P$175,2026,'Master Data'!$M$2:$M$175,"Withdrawn")</f>
        <v>3</v>
      </c>
      <c r="F24" s="12">
        <f>IF(E24=0,"n/a",(COUNTIFS('Master Data'!$I$2:$I$175,"Denmark",'Master Data'!$P$2:$P$175,2026,'Master Data'!$M$2:$M$175,"Positive")+COUNTIFS('Master Data'!$I$2:$I$175,"Denmark",'Master Data'!$P$2:$P$175,2026,'Master Data'!$M$2:$M$175,"Restricted Positive"))/E24)</f>
        <v>0.66666666666666663</v>
      </c>
      <c r="G24" s="3">
        <f>COUNTIFS('Master Data'!$I$2:$I$175,"Norway",'Master Data'!$P$2:$P$175,2026,'Master Data'!$M$2:$M$175,"Positive")+COUNTIFS('Master Data'!$I$2:$I$175,"Norway",'Master Data'!$P$2:$P$175,2026,'Master Data'!$M$2:$M$175,"Restricted Positive")+COUNTIFS('Master Data'!$I$2:$I$175,"Norway",'Master Data'!$P$2:$P$175,2026,'Master Data'!$M$2:$M$175,"Negative")+COUNTIFS('Master Data'!$I$2:$I$175,"Norway",'Master Data'!$P$2:$P$175,2026,'Master Data'!$M$2:$M$175,"Withdrawn")</f>
        <v>3</v>
      </c>
      <c r="H24" s="12">
        <f>IF(G24=0,"n/a",(COUNTIFS('Master Data'!$I$2:$I$175,"Norway",'Master Data'!$P$2:$P$175,2026,'Master Data'!$M$2:$M$175,"Positive")+COUNTIFS('Master Data'!$I$2:$I$175,"Norway",'Master Data'!$P$2:$P$175,2026,'Master Data'!$M$2:$M$175,"Restricted Positive"))/G24)</f>
        <v>0.66666666666666663</v>
      </c>
    </row>
    <row r="43" spans="2:10" x14ac:dyDescent="0.2">
      <c r="B43" s="22" t="s">
        <v>1751</v>
      </c>
      <c r="C43" s="23"/>
      <c r="D43" s="23"/>
      <c r="E43" s="23"/>
      <c r="F43" s="23"/>
      <c r="G43" s="23"/>
      <c r="H43" s="23"/>
      <c r="I43" s="23"/>
      <c r="J43" s="23"/>
    </row>
    <row r="44" spans="2:10" ht="60" customHeight="1" x14ac:dyDescent="0.2">
      <c r="B44" s="43" t="s">
        <v>1752</v>
      </c>
      <c r="C44" s="36"/>
      <c r="D44" s="36"/>
      <c r="E44" s="36"/>
      <c r="F44" s="36"/>
      <c r="G44" s="36"/>
      <c r="H44" s="36"/>
      <c r="I44" s="36"/>
      <c r="J44" s="36"/>
    </row>
    <row r="46" spans="2:10" x14ac:dyDescent="0.2">
      <c r="B46" s="9" t="s">
        <v>1753</v>
      </c>
    </row>
    <row r="47" spans="2:10" ht="182" x14ac:dyDescent="0.2">
      <c r="B47" s="44" t="s">
        <v>1754</v>
      </c>
    </row>
    <row r="49" spans="2:10" x14ac:dyDescent="0.2">
      <c r="B49" s="9" t="s">
        <v>1755</v>
      </c>
    </row>
    <row r="50" spans="2:10" x14ac:dyDescent="0.2">
      <c r="B50" s="10" t="s">
        <v>1756</v>
      </c>
      <c r="C50" s="10" t="s">
        <v>1757</v>
      </c>
      <c r="D50" s="10" t="s">
        <v>1758</v>
      </c>
      <c r="E50" s="10" t="s">
        <v>1664</v>
      </c>
    </row>
    <row r="51" spans="2:10" x14ac:dyDescent="0.2">
      <c r="B51" s="11" t="s">
        <v>1759</v>
      </c>
      <c r="C51" s="3">
        <f>COUNTIFS('Master Data'!$R$2:$R$175,"Active comparator drug(s)",'Master Data'!$M$2:$M$175,"Positive")+COUNTIFS('Master Data'!$R$2:$R$175,"Active comparator drug(s)",'Master Data'!$M$2:$M$175,"Restricted Positive")+COUNTIFS('Master Data'!$R$2:$R$175,"Active comparator drug(s)",'Master Data'!$M$2:$M$175,"Negative")+COUNTIFS('Master Data'!$R$2:$R$175,"Active comparator drug(s)",'Master Data'!$M$2:$M$175,"Withdrawn")</f>
        <v>37</v>
      </c>
      <c r="D51" s="3">
        <f>COUNTIFS('Master Data'!$R$2:$R$175,"Active comparator drug(s)",'Master Data'!$M$2:$M$175,"Positive")+COUNTIFS('Master Data'!$R$2:$R$175,"Active comparator drug(s)",'Master Data'!$M$2:$M$175,"Restricted Positive")</f>
        <v>26</v>
      </c>
      <c r="E51" s="12">
        <f>IF(C51=0,"n/a",D51/C51)</f>
        <v>0.70270270270270274</v>
      </c>
    </row>
    <row r="52" spans="2:10" x14ac:dyDescent="0.2">
      <c r="B52" s="11" t="s">
        <v>1760</v>
      </c>
      <c r="C52" s="3">
        <f>COUNTIFS('Master Data'!$R$2:$R$175,"Best supportive care / no active treatment",'Master Data'!$M$2:$M$175,"Positive")+COUNTIFS('Master Data'!$R$2:$R$175,"Best supportive care / no active treatment",'Master Data'!$M$2:$M$175,"Restricted Positive")+COUNTIFS('Master Data'!$R$2:$R$175,"Best supportive care / no active treatment",'Master Data'!$M$2:$M$175,"Negative")+COUNTIFS('Master Data'!$R$2:$R$175,"Best supportive care / no active treatment",'Master Data'!$M$2:$M$175,"Withdrawn")</f>
        <v>46</v>
      </c>
      <c r="D52" s="3">
        <f>COUNTIFS('Master Data'!$R$2:$R$175,"Best supportive care / no active treatment",'Master Data'!$M$2:$M$175,"Positive")+COUNTIFS('Master Data'!$R$2:$R$175,"Best supportive care / no active treatment",'Master Data'!$M$2:$M$175,"Restricted Positive")</f>
        <v>27</v>
      </c>
      <c r="E52" s="12">
        <f>IF(C52=0,"n/a",D52/C52)</f>
        <v>0.58695652173913049</v>
      </c>
    </row>
    <row r="54" spans="2:10" x14ac:dyDescent="0.2">
      <c r="B54" s="22" t="s">
        <v>1761</v>
      </c>
      <c r="C54" s="23"/>
      <c r="D54" s="23"/>
      <c r="E54" s="23"/>
      <c r="F54" s="23"/>
      <c r="G54" s="23"/>
      <c r="H54" s="23"/>
      <c r="I54" s="23"/>
      <c r="J54" s="23"/>
    </row>
    <row r="55" spans="2:10" ht="60" customHeight="1" x14ac:dyDescent="0.2">
      <c r="B55" s="38" t="s">
        <v>1762</v>
      </c>
      <c r="C55" s="36"/>
      <c r="D55" s="36"/>
      <c r="E55" s="36"/>
      <c r="F55" s="36"/>
      <c r="G55" s="36"/>
      <c r="H55" s="36"/>
      <c r="I55" s="36"/>
      <c r="J55" s="36"/>
    </row>
    <row r="57" spans="2:10" x14ac:dyDescent="0.2">
      <c r="B57" s="9" t="s">
        <v>1763</v>
      </c>
    </row>
    <row r="58" spans="2:10" ht="28" x14ac:dyDescent="0.2">
      <c r="B58" s="10" t="s">
        <v>1647</v>
      </c>
      <c r="C58" s="10" t="s">
        <v>1764</v>
      </c>
      <c r="D58" s="10" t="s">
        <v>1765</v>
      </c>
      <c r="E58" s="10" t="s">
        <v>1766</v>
      </c>
      <c r="F58" s="10" t="s">
        <v>1767</v>
      </c>
    </row>
    <row r="59" spans="2:10" ht="45" customHeight="1" x14ac:dyDescent="0.2">
      <c r="B59" s="11" t="s">
        <v>825</v>
      </c>
      <c r="C59" s="24">
        <v>7</v>
      </c>
      <c r="D59" s="25">
        <v>2</v>
      </c>
      <c r="E59" s="21">
        <v>0.2857142857142857</v>
      </c>
      <c r="F59" s="7" t="s">
        <v>1768</v>
      </c>
    </row>
    <row r="60" spans="2:10" ht="45" customHeight="1" x14ac:dyDescent="0.2">
      <c r="B60" s="11" t="s">
        <v>76</v>
      </c>
      <c r="C60" s="24">
        <v>5</v>
      </c>
      <c r="D60" s="25">
        <v>3</v>
      </c>
      <c r="E60" s="21">
        <v>0.6</v>
      </c>
      <c r="F60" s="7" t="s">
        <v>1769</v>
      </c>
    </row>
    <row r="61" spans="2:10" ht="45" customHeight="1" x14ac:dyDescent="0.2">
      <c r="B61" s="11" t="s">
        <v>480</v>
      </c>
      <c r="C61" s="24">
        <v>4</v>
      </c>
      <c r="D61" s="25">
        <v>3</v>
      </c>
      <c r="E61" s="21">
        <v>0.75</v>
      </c>
      <c r="F61" s="7" t="s">
        <v>1770</v>
      </c>
    </row>
    <row r="62" spans="2:10" ht="45" customHeight="1" x14ac:dyDescent="0.2">
      <c r="B62" s="11" t="s">
        <v>128</v>
      </c>
      <c r="C62" s="24">
        <v>4</v>
      </c>
      <c r="D62" s="25">
        <v>2</v>
      </c>
      <c r="E62" s="21">
        <v>0.5</v>
      </c>
      <c r="F62" s="7" t="s">
        <v>1771</v>
      </c>
    </row>
    <row r="63" spans="2:10" ht="45" customHeight="1" x14ac:dyDescent="0.2">
      <c r="B63" s="11" t="s">
        <v>610</v>
      </c>
      <c r="C63" s="24">
        <v>3</v>
      </c>
      <c r="D63" s="25">
        <v>3</v>
      </c>
      <c r="E63" s="21">
        <v>1</v>
      </c>
      <c r="F63" s="7" t="s">
        <v>1772</v>
      </c>
    </row>
    <row r="64" spans="2:10" ht="45" customHeight="1" x14ac:dyDescent="0.2">
      <c r="B64" s="11" t="s">
        <v>166</v>
      </c>
      <c r="C64" s="24">
        <v>3</v>
      </c>
      <c r="D64" s="25">
        <v>2</v>
      </c>
      <c r="E64" s="21">
        <v>0.66666666666666663</v>
      </c>
      <c r="F64" s="7" t="s">
        <v>1773</v>
      </c>
    </row>
    <row r="65" spans="2:10" ht="45" customHeight="1" x14ac:dyDescent="0.2">
      <c r="B65" s="11" t="s">
        <v>1400</v>
      </c>
      <c r="C65" s="24">
        <v>3</v>
      </c>
      <c r="D65" s="25">
        <v>2</v>
      </c>
      <c r="E65" s="21">
        <v>0.66666666666666663</v>
      </c>
      <c r="F65" s="7" t="s">
        <v>1774</v>
      </c>
    </row>
    <row r="66" spans="2:10" ht="45" customHeight="1" x14ac:dyDescent="0.2">
      <c r="B66" s="11" t="s">
        <v>238</v>
      </c>
      <c r="C66" s="24">
        <v>2</v>
      </c>
      <c r="D66" s="25">
        <v>0</v>
      </c>
      <c r="E66" s="21">
        <v>0</v>
      </c>
      <c r="F66" s="7" t="s">
        <v>1775</v>
      </c>
    </row>
    <row r="68" spans="2:10" x14ac:dyDescent="0.2">
      <c r="B68" s="13"/>
    </row>
    <row r="70" spans="2:10" x14ac:dyDescent="0.2">
      <c r="B70" s="22" t="s">
        <v>1776</v>
      </c>
      <c r="C70" s="23"/>
      <c r="D70" s="23"/>
      <c r="E70" s="23"/>
      <c r="F70" s="23"/>
      <c r="G70" s="23"/>
      <c r="H70" s="23"/>
      <c r="I70" s="23"/>
      <c r="J70" s="23"/>
    </row>
    <row r="71" spans="2:10" ht="60" customHeight="1" x14ac:dyDescent="0.2">
      <c r="B71" s="38" t="s">
        <v>1777</v>
      </c>
      <c r="C71" s="36"/>
      <c r="D71" s="36"/>
      <c r="E71" s="36"/>
      <c r="F71" s="36"/>
      <c r="G71" s="36"/>
      <c r="H71" s="36"/>
      <c r="I71" s="36"/>
      <c r="J71" s="36"/>
    </row>
    <row r="73" spans="2:10" x14ac:dyDescent="0.2">
      <c r="B73" s="9" t="s">
        <v>1778</v>
      </c>
    </row>
    <row r="74" spans="2:10" ht="42" x14ac:dyDescent="0.2">
      <c r="B74" s="10" t="s">
        <v>44</v>
      </c>
      <c r="C74" s="10" t="s">
        <v>1779</v>
      </c>
      <c r="D74" s="10" t="s">
        <v>1780</v>
      </c>
      <c r="E74" s="10" t="s">
        <v>1781</v>
      </c>
    </row>
    <row r="75" spans="2:10" ht="16" x14ac:dyDescent="0.2">
      <c r="B75" s="11" t="s">
        <v>80</v>
      </c>
      <c r="C75" s="24">
        <v>17</v>
      </c>
      <c r="D75" s="26">
        <v>11</v>
      </c>
      <c r="E75" s="14">
        <v>0.6470588235294118</v>
      </c>
    </row>
    <row r="76" spans="2:10" ht="16" x14ac:dyDescent="0.2">
      <c r="B76" s="11" t="s">
        <v>99</v>
      </c>
      <c r="C76" s="24">
        <v>14</v>
      </c>
      <c r="D76" s="26">
        <v>5</v>
      </c>
      <c r="E76" s="14">
        <v>0.35714285714285721</v>
      </c>
    </row>
    <row r="77" spans="2:10" ht="16" x14ac:dyDescent="0.2">
      <c r="B77" s="11" t="s">
        <v>113</v>
      </c>
      <c r="C77" s="24">
        <v>15</v>
      </c>
      <c r="D77" s="26">
        <v>5</v>
      </c>
      <c r="E77" s="14">
        <v>0.33333333333333331</v>
      </c>
    </row>
    <row r="79" spans="2:10" x14ac:dyDescent="0.2">
      <c r="B79" s="9" t="s">
        <v>1782</v>
      </c>
    </row>
    <row r="80" spans="2:10" ht="28" x14ac:dyDescent="0.2">
      <c r="B80" s="10" t="s">
        <v>36</v>
      </c>
      <c r="C80" s="10" t="s">
        <v>38</v>
      </c>
      <c r="D80" s="10" t="s">
        <v>1783</v>
      </c>
      <c r="E80" s="10" t="s">
        <v>41</v>
      </c>
      <c r="F80" s="10" t="s">
        <v>1784</v>
      </c>
    </row>
    <row r="81" spans="2:10" x14ac:dyDescent="0.2">
      <c r="B81" s="3" t="s">
        <v>72</v>
      </c>
      <c r="C81" s="3" t="s">
        <v>74</v>
      </c>
      <c r="D81" s="3" t="s">
        <v>84</v>
      </c>
      <c r="E81" s="3" t="s">
        <v>77</v>
      </c>
      <c r="F81" s="27" t="s">
        <v>1785</v>
      </c>
    </row>
    <row r="82" spans="2:10" x14ac:dyDescent="0.2">
      <c r="B82" s="3" t="s">
        <v>234</v>
      </c>
      <c r="C82" s="3" t="s">
        <v>236</v>
      </c>
      <c r="D82" s="3" t="s">
        <v>242</v>
      </c>
      <c r="E82" s="3" t="s">
        <v>203</v>
      </c>
      <c r="F82" s="27" t="s">
        <v>1785</v>
      </c>
    </row>
    <row r="83" spans="2:10" x14ac:dyDescent="0.2">
      <c r="B83" s="3" t="s">
        <v>255</v>
      </c>
      <c r="C83" s="3" t="s">
        <v>257</v>
      </c>
      <c r="D83" s="3" t="s">
        <v>84</v>
      </c>
      <c r="E83" s="3" t="s">
        <v>77</v>
      </c>
      <c r="F83" s="27" t="s">
        <v>1785</v>
      </c>
    </row>
    <row r="84" spans="2:10" x14ac:dyDescent="0.2">
      <c r="B84" s="3" t="s">
        <v>289</v>
      </c>
      <c r="C84" s="3" t="s">
        <v>291</v>
      </c>
      <c r="D84" s="3" t="s">
        <v>84</v>
      </c>
      <c r="E84" s="3" t="s">
        <v>77</v>
      </c>
      <c r="F84" s="27" t="s">
        <v>1785</v>
      </c>
    </row>
    <row r="85" spans="2:10" x14ac:dyDescent="0.2">
      <c r="B85" s="3" t="s">
        <v>477</v>
      </c>
      <c r="C85" s="3" t="s">
        <v>453</v>
      </c>
      <c r="D85" s="3" t="s">
        <v>84</v>
      </c>
      <c r="E85" s="3" t="s">
        <v>481</v>
      </c>
      <c r="F85" s="3"/>
    </row>
    <row r="86" spans="2:10" x14ac:dyDescent="0.2">
      <c r="B86" s="3" t="s">
        <v>509</v>
      </c>
      <c r="C86" s="3" t="s">
        <v>511</v>
      </c>
      <c r="D86" s="3" t="s">
        <v>84</v>
      </c>
      <c r="E86" s="3" t="s">
        <v>512</v>
      </c>
      <c r="F86" s="3"/>
    </row>
    <row r="87" spans="2:10" x14ac:dyDescent="0.2">
      <c r="B87" s="3" t="s">
        <v>868</v>
      </c>
      <c r="C87" s="3" t="s">
        <v>870</v>
      </c>
      <c r="D87" s="3" t="s">
        <v>84</v>
      </c>
      <c r="E87" s="3" t="s">
        <v>872</v>
      </c>
      <c r="F87" s="3"/>
    </row>
    <row r="88" spans="2:10" x14ac:dyDescent="0.2">
      <c r="B88" s="3" t="s">
        <v>1063</v>
      </c>
      <c r="C88" s="3" t="s">
        <v>1065</v>
      </c>
      <c r="D88" s="3" t="s">
        <v>242</v>
      </c>
      <c r="E88" s="3" t="s">
        <v>129</v>
      </c>
      <c r="F88" s="3"/>
    </row>
    <row r="89" spans="2:10" x14ac:dyDescent="0.2">
      <c r="B89" s="3" t="s">
        <v>1307</v>
      </c>
      <c r="C89" s="3" t="s">
        <v>1309</v>
      </c>
      <c r="D89" s="3" t="s">
        <v>84</v>
      </c>
      <c r="E89" s="3" t="s">
        <v>203</v>
      </c>
      <c r="F89" s="27" t="s">
        <v>1785</v>
      </c>
    </row>
    <row r="90" spans="2:10" x14ac:dyDescent="0.2">
      <c r="B90" s="3" t="s">
        <v>1367</v>
      </c>
      <c r="C90" s="3" t="s">
        <v>1459</v>
      </c>
      <c r="D90" s="3" t="s">
        <v>84</v>
      </c>
      <c r="E90" s="3" t="s">
        <v>1335</v>
      </c>
      <c r="F90" s="27" t="s">
        <v>1785</v>
      </c>
    </row>
    <row r="91" spans="2:10" x14ac:dyDescent="0.2">
      <c r="B91" s="3" t="s">
        <v>1367</v>
      </c>
      <c r="C91" s="3" t="s">
        <v>1473</v>
      </c>
      <c r="D91" s="3" t="s">
        <v>84</v>
      </c>
      <c r="E91" s="3" t="s">
        <v>1335</v>
      </c>
      <c r="F91" s="27" t="s">
        <v>1785</v>
      </c>
    </row>
    <row r="93" spans="2:10" x14ac:dyDescent="0.2">
      <c r="B93" s="13"/>
    </row>
    <row r="95" spans="2:10" x14ac:dyDescent="0.2">
      <c r="B95" s="22" t="s">
        <v>1786</v>
      </c>
      <c r="C95" s="23"/>
      <c r="D95" s="23"/>
      <c r="E95" s="23"/>
      <c r="F95" s="23"/>
      <c r="G95" s="23"/>
      <c r="H95" s="23"/>
      <c r="I95" s="23"/>
      <c r="J95" s="23"/>
    </row>
    <row r="96" spans="2:10" ht="60" customHeight="1" x14ac:dyDescent="0.2">
      <c r="B96" s="38" t="s">
        <v>1787</v>
      </c>
      <c r="C96" s="36"/>
      <c r="D96" s="36"/>
      <c r="E96" s="36"/>
      <c r="F96" s="36"/>
      <c r="G96" s="36"/>
      <c r="H96" s="36"/>
      <c r="I96" s="36"/>
      <c r="J96" s="36"/>
    </row>
    <row r="98" spans="2:10" x14ac:dyDescent="0.2">
      <c r="B98" s="9" t="s">
        <v>1788</v>
      </c>
    </row>
    <row r="99" spans="2:10" ht="28" x14ac:dyDescent="0.2">
      <c r="B99" s="10" t="s">
        <v>36</v>
      </c>
      <c r="C99" s="10" t="s">
        <v>38</v>
      </c>
      <c r="D99" s="10" t="s">
        <v>1614</v>
      </c>
      <c r="E99" s="10" t="s">
        <v>1789</v>
      </c>
      <c r="F99" s="10" t="s">
        <v>1790</v>
      </c>
      <c r="G99" s="10" t="s">
        <v>1791</v>
      </c>
      <c r="H99" s="10" t="s">
        <v>1783</v>
      </c>
      <c r="I99" s="10" t="s">
        <v>1792</v>
      </c>
    </row>
    <row r="100" spans="2:10" x14ac:dyDescent="0.2">
      <c r="B100" s="11" t="s">
        <v>163</v>
      </c>
      <c r="C100" s="3" t="s">
        <v>74</v>
      </c>
      <c r="D100" s="3" t="s">
        <v>79</v>
      </c>
      <c r="E100" s="16">
        <v>4100000</v>
      </c>
      <c r="F100" s="16">
        <v>2000000</v>
      </c>
      <c r="G100" s="28">
        <v>2.0499999999999998</v>
      </c>
      <c r="H100" s="3" t="s">
        <v>102</v>
      </c>
      <c r="I100" s="3" t="s">
        <v>1793</v>
      </c>
    </row>
    <row r="101" spans="2:10" x14ac:dyDescent="0.2">
      <c r="B101" s="11" t="s">
        <v>746</v>
      </c>
      <c r="C101" s="3" t="s">
        <v>748</v>
      </c>
      <c r="D101" s="3" t="s">
        <v>260</v>
      </c>
      <c r="E101" s="16">
        <v>12000000</v>
      </c>
      <c r="F101" s="16">
        <v>500000</v>
      </c>
      <c r="G101" s="28">
        <v>24</v>
      </c>
      <c r="H101" s="3" t="s">
        <v>133</v>
      </c>
      <c r="I101" s="3" t="s">
        <v>1794</v>
      </c>
    </row>
    <row r="102" spans="2:10" x14ac:dyDescent="0.2">
      <c r="B102" s="11" t="s">
        <v>1013</v>
      </c>
      <c r="C102" s="3" t="s">
        <v>987</v>
      </c>
      <c r="D102" s="3" t="s">
        <v>457</v>
      </c>
      <c r="E102" s="16">
        <v>7700000</v>
      </c>
      <c r="F102" s="16">
        <v>1000000</v>
      </c>
      <c r="G102" s="28">
        <v>7.7</v>
      </c>
      <c r="H102" s="3" t="s">
        <v>102</v>
      </c>
      <c r="I102" s="3" t="s">
        <v>1795</v>
      </c>
    </row>
    <row r="103" spans="2:10" x14ac:dyDescent="0.2">
      <c r="B103" s="11" t="s">
        <v>1222</v>
      </c>
      <c r="C103" s="3" t="s">
        <v>1224</v>
      </c>
      <c r="D103" s="3" t="s">
        <v>79</v>
      </c>
      <c r="E103" s="16">
        <v>10600000</v>
      </c>
      <c r="F103" s="16">
        <v>2000000</v>
      </c>
      <c r="G103" s="28">
        <v>5.3</v>
      </c>
      <c r="H103" s="3" t="s">
        <v>133</v>
      </c>
      <c r="I103" s="3" t="s">
        <v>1796</v>
      </c>
    </row>
    <row r="105" spans="2:10" ht="156" x14ac:dyDescent="0.2">
      <c r="B105" s="13" t="s">
        <v>1797</v>
      </c>
    </row>
    <row r="107" spans="2:10" x14ac:dyDescent="0.2">
      <c r="B107" s="29" t="s">
        <v>1798</v>
      </c>
      <c r="C107" s="30"/>
      <c r="D107" s="30"/>
      <c r="E107" s="30"/>
      <c r="F107" s="30"/>
      <c r="G107" s="30"/>
      <c r="H107" s="30"/>
      <c r="I107" s="30"/>
      <c r="J107" s="30"/>
    </row>
    <row r="108" spans="2:10" ht="32" customHeight="1" x14ac:dyDescent="0.2">
      <c r="B108" s="37" t="s">
        <v>1799</v>
      </c>
      <c r="C108" s="36"/>
      <c r="D108" s="36"/>
      <c r="E108" s="36"/>
      <c r="F108" s="36"/>
      <c r="G108" s="36"/>
      <c r="H108" s="36"/>
      <c r="I108" s="36"/>
      <c r="J108" s="36"/>
    </row>
    <row r="109" spans="2:10" ht="32" customHeight="1" x14ac:dyDescent="0.2">
      <c r="B109" s="37" t="s">
        <v>1800</v>
      </c>
      <c r="C109" s="36"/>
      <c r="D109" s="36"/>
      <c r="E109" s="36"/>
      <c r="F109" s="36"/>
      <c r="G109" s="36"/>
      <c r="H109" s="36"/>
      <c r="I109" s="36"/>
      <c r="J109" s="36"/>
    </row>
    <row r="110" spans="2:10" ht="32" customHeight="1" x14ac:dyDescent="0.2">
      <c r="B110" s="37" t="s">
        <v>1801</v>
      </c>
      <c r="C110" s="36"/>
      <c r="D110" s="36"/>
      <c r="E110" s="36"/>
      <c r="F110" s="36"/>
      <c r="G110" s="36"/>
      <c r="H110" s="36"/>
      <c r="I110" s="36"/>
      <c r="J110" s="36"/>
    </row>
    <row r="111" spans="2:10" ht="32" customHeight="1" x14ac:dyDescent="0.2">
      <c r="B111" s="37" t="s">
        <v>1802</v>
      </c>
      <c r="C111" s="36"/>
      <c r="D111" s="36"/>
      <c r="E111" s="36"/>
      <c r="F111" s="36"/>
      <c r="G111" s="36"/>
      <c r="H111" s="36"/>
      <c r="I111" s="36"/>
      <c r="J111" s="36"/>
    </row>
    <row r="112" spans="2:10" ht="45" customHeight="1" x14ac:dyDescent="0.2">
      <c r="B112" s="35" t="s">
        <v>1803</v>
      </c>
      <c r="C112" s="36"/>
      <c r="D112" s="36"/>
      <c r="E112" s="36"/>
      <c r="F112" s="36"/>
      <c r="G112" s="36"/>
      <c r="H112" s="36"/>
      <c r="I112" s="36"/>
      <c r="J112" s="36"/>
    </row>
  </sheetData>
  <mergeCells count="10">
    <mergeCell ref="B112:J112"/>
    <mergeCell ref="B109:J109"/>
    <mergeCell ref="B111:J111"/>
    <mergeCell ref="B14:J14"/>
    <mergeCell ref="B108:J108"/>
    <mergeCell ref="B110:J110"/>
    <mergeCell ref="B71:J71"/>
    <mergeCell ref="B96:J96"/>
    <mergeCell ref="B55:J55"/>
    <mergeCell ref="B44:J44"/>
  </mergeCells>
  <pageMargins left="0.75" right="0.75" top="1" bottom="1" header="0.5" footer="0.5"/>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B2:G34"/>
  <sheetViews>
    <sheetView showGridLines="0" tabSelected="1" workbookViewId="0"/>
  </sheetViews>
  <sheetFormatPr baseColWidth="10" defaultColWidth="8.83203125" defaultRowHeight="15" x14ac:dyDescent="0.2"/>
  <cols>
    <col min="1" max="1" width="3" customWidth="1"/>
    <col min="2" max="2" width="26" customWidth="1"/>
    <col min="3" max="3" width="15" customWidth="1"/>
    <col min="4" max="4" width="32" customWidth="1"/>
    <col min="5" max="5" width="20" customWidth="1"/>
    <col min="6" max="6" width="42" customWidth="1"/>
    <col min="7" max="7" width="34" customWidth="1"/>
  </cols>
  <sheetData>
    <row r="2" spans="2:7" ht="18" x14ac:dyDescent="0.2">
      <c r="B2" s="4" t="s">
        <v>1804</v>
      </c>
    </row>
    <row r="3" spans="2:7" ht="155" x14ac:dyDescent="0.2">
      <c r="B3" s="8" t="s">
        <v>1805</v>
      </c>
    </row>
    <row r="5" spans="2:7" ht="52" x14ac:dyDescent="0.2">
      <c r="B5" s="13" t="s">
        <v>1806</v>
      </c>
    </row>
    <row r="7" spans="2:7" x14ac:dyDescent="0.2">
      <c r="B7" s="41" t="s">
        <v>1807</v>
      </c>
      <c r="C7" s="36"/>
      <c r="D7" s="36"/>
      <c r="E7" s="36"/>
      <c r="F7" s="36"/>
      <c r="G7" s="36"/>
    </row>
    <row r="8" spans="2:7" x14ac:dyDescent="0.2">
      <c r="B8" s="10" t="s">
        <v>1808</v>
      </c>
      <c r="C8" s="10" t="s">
        <v>1809</v>
      </c>
      <c r="D8" s="10" t="s">
        <v>1810</v>
      </c>
      <c r="E8" s="10" t="s">
        <v>1811</v>
      </c>
      <c r="F8" s="10" t="s">
        <v>1812</v>
      </c>
      <c r="G8" s="10" t="s">
        <v>1813</v>
      </c>
    </row>
    <row r="9" spans="2:7" ht="70" customHeight="1" x14ac:dyDescent="0.2">
      <c r="B9" s="31" t="s">
        <v>1814</v>
      </c>
      <c r="C9" s="32" t="s">
        <v>1815</v>
      </c>
      <c r="D9" s="31" t="s">
        <v>1816</v>
      </c>
      <c r="E9" s="31" t="s">
        <v>1817</v>
      </c>
      <c r="F9" s="31" t="s">
        <v>1818</v>
      </c>
      <c r="G9" s="33" t="s">
        <v>1819</v>
      </c>
    </row>
    <row r="10" spans="2:7" ht="70" customHeight="1" x14ac:dyDescent="0.2">
      <c r="B10" s="31" t="s">
        <v>1820</v>
      </c>
      <c r="C10" s="32" t="s">
        <v>1821</v>
      </c>
      <c r="D10" s="31" t="s">
        <v>1822</v>
      </c>
      <c r="E10" s="31" t="s">
        <v>1817</v>
      </c>
      <c r="F10" s="31" t="s">
        <v>1823</v>
      </c>
      <c r="G10" s="33" t="s">
        <v>1824</v>
      </c>
    </row>
    <row r="11" spans="2:7" ht="70" customHeight="1" x14ac:dyDescent="0.2">
      <c r="B11" s="31" t="s">
        <v>1825</v>
      </c>
      <c r="C11" s="32" t="s">
        <v>1826</v>
      </c>
      <c r="D11" s="31" t="s">
        <v>1827</v>
      </c>
      <c r="E11" s="31" t="s">
        <v>1817</v>
      </c>
      <c r="F11" s="31" t="s">
        <v>1828</v>
      </c>
      <c r="G11" s="33" t="s">
        <v>1829</v>
      </c>
    </row>
    <row r="12" spans="2:7" ht="70" customHeight="1" x14ac:dyDescent="0.2">
      <c r="B12" s="31" t="s">
        <v>1830</v>
      </c>
      <c r="C12" s="32" t="s">
        <v>1831</v>
      </c>
      <c r="D12" s="31" t="s">
        <v>1832</v>
      </c>
      <c r="E12" s="31" t="s">
        <v>1833</v>
      </c>
      <c r="F12" s="31" t="s">
        <v>1834</v>
      </c>
      <c r="G12" s="33" t="s">
        <v>1835</v>
      </c>
    </row>
    <row r="13" spans="2:7" ht="70" customHeight="1" x14ac:dyDescent="0.2">
      <c r="B13" s="31" t="s">
        <v>1836</v>
      </c>
      <c r="C13" s="32" t="s">
        <v>1837</v>
      </c>
      <c r="D13" s="31" t="s">
        <v>1838</v>
      </c>
      <c r="E13" s="31" t="s">
        <v>1839</v>
      </c>
      <c r="F13" s="31" t="s">
        <v>1840</v>
      </c>
      <c r="G13" s="33" t="s">
        <v>1841</v>
      </c>
    </row>
    <row r="14" spans="2:7" ht="70" customHeight="1" x14ac:dyDescent="0.2">
      <c r="B14" s="31" t="s">
        <v>1842</v>
      </c>
      <c r="C14" s="32" t="s">
        <v>1843</v>
      </c>
      <c r="D14" s="31" t="s">
        <v>1844</v>
      </c>
      <c r="E14" s="31" t="s">
        <v>1845</v>
      </c>
      <c r="F14" s="31" t="s">
        <v>1846</v>
      </c>
      <c r="G14" s="33" t="s">
        <v>1847</v>
      </c>
    </row>
    <row r="15" spans="2:7" ht="70" customHeight="1" x14ac:dyDescent="0.2">
      <c r="B15" s="31" t="s">
        <v>1848</v>
      </c>
      <c r="C15" s="32" t="s">
        <v>1849</v>
      </c>
      <c r="D15" s="31" t="s">
        <v>1850</v>
      </c>
      <c r="E15" s="31" t="s">
        <v>1851</v>
      </c>
      <c r="F15" s="31" t="s">
        <v>1852</v>
      </c>
      <c r="G15" s="33" t="s">
        <v>1853</v>
      </c>
    </row>
    <row r="17" spans="2:7" x14ac:dyDescent="0.2">
      <c r="B17" s="41" t="s">
        <v>1854</v>
      </c>
      <c r="C17" s="36"/>
      <c r="D17" s="36"/>
      <c r="E17" s="36"/>
      <c r="F17" s="36"/>
      <c r="G17" s="36"/>
    </row>
    <row r="18" spans="2:7" x14ac:dyDescent="0.2">
      <c r="B18" s="10" t="s">
        <v>1808</v>
      </c>
      <c r="C18" s="10" t="s">
        <v>1809</v>
      </c>
      <c r="D18" s="10" t="s">
        <v>1810</v>
      </c>
      <c r="E18" s="10" t="s">
        <v>1811</v>
      </c>
      <c r="F18" s="10" t="s">
        <v>1812</v>
      </c>
      <c r="G18" s="10" t="s">
        <v>1813</v>
      </c>
    </row>
    <row r="19" spans="2:7" ht="70" customHeight="1" x14ac:dyDescent="0.2">
      <c r="B19" s="31" t="s">
        <v>1855</v>
      </c>
      <c r="C19" s="32" t="s">
        <v>1856</v>
      </c>
      <c r="D19" s="31" t="s">
        <v>1857</v>
      </c>
      <c r="E19" s="31" t="s">
        <v>1858</v>
      </c>
      <c r="F19" s="31" t="s">
        <v>1859</v>
      </c>
      <c r="G19" s="33" t="s">
        <v>1860</v>
      </c>
    </row>
    <row r="20" spans="2:7" ht="70" customHeight="1" x14ac:dyDescent="0.2">
      <c r="B20" s="31" t="s">
        <v>76</v>
      </c>
      <c r="C20" s="32" t="s">
        <v>1861</v>
      </c>
      <c r="D20" s="31" t="s">
        <v>1862</v>
      </c>
      <c r="E20" s="31" t="s">
        <v>1858</v>
      </c>
      <c r="F20" s="31" t="s">
        <v>1863</v>
      </c>
      <c r="G20" s="33" t="s">
        <v>1864</v>
      </c>
    </row>
    <row r="21" spans="2:7" ht="70" customHeight="1" x14ac:dyDescent="0.2">
      <c r="B21" s="31" t="s">
        <v>610</v>
      </c>
      <c r="C21" s="32" t="s">
        <v>1865</v>
      </c>
      <c r="D21" s="31" t="s">
        <v>1866</v>
      </c>
      <c r="E21" s="31" t="s">
        <v>1858</v>
      </c>
      <c r="F21" s="31" t="s">
        <v>1867</v>
      </c>
      <c r="G21" s="33" t="s">
        <v>1868</v>
      </c>
    </row>
    <row r="22" spans="2:7" ht="70" customHeight="1" x14ac:dyDescent="0.2">
      <c r="B22" s="31" t="s">
        <v>238</v>
      </c>
      <c r="C22" s="32" t="s">
        <v>1869</v>
      </c>
      <c r="D22" s="31" t="s">
        <v>1870</v>
      </c>
      <c r="E22" s="31" t="s">
        <v>1858</v>
      </c>
      <c r="F22" s="31" t="s">
        <v>1871</v>
      </c>
      <c r="G22" s="33" t="s">
        <v>1872</v>
      </c>
    </row>
    <row r="23" spans="2:7" ht="70" customHeight="1" x14ac:dyDescent="0.2">
      <c r="B23" s="31" t="s">
        <v>1873</v>
      </c>
      <c r="C23" s="32" t="s">
        <v>1874</v>
      </c>
      <c r="D23" s="31" t="s">
        <v>1875</v>
      </c>
      <c r="E23" s="31" t="s">
        <v>1876</v>
      </c>
      <c r="F23" s="31" t="s">
        <v>1877</v>
      </c>
      <c r="G23" s="33" t="s">
        <v>1878</v>
      </c>
    </row>
    <row r="24" spans="2:7" ht="70" customHeight="1" x14ac:dyDescent="0.2">
      <c r="B24" s="31" t="s">
        <v>1879</v>
      </c>
      <c r="C24" s="32" t="s">
        <v>1880</v>
      </c>
      <c r="D24" s="31" t="s">
        <v>1881</v>
      </c>
      <c r="E24" s="31" t="s">
        <v>1851</v>
      </c>
      <c r="F24" s="31" t="s">
        <v>1882</v>
      </c>
      <c r="G24" s="33" t="s">
        <v>1883</v>
      </c>
    </row>
    <row r="25" spans="2:7" ht="70" customHeight="1" x14ac:dyDescent="0.2">
      <c r="B25" s="31" t="s">
        <v>1884</v>
      </c>
      <c r="C25" s="32" t="s">
        <v>1885</v>
      </c>
      <c r="D25" s="31" t="s">
        <v>1886</v>
      </c>
      <c r="E25" s="31" t="s">
        <v>1887</v>
      </c>
      <c r="F25" s="31" t="s">
        <v>1888</v>
      </c>
      <c r="G25" s="33" t="s">
        <v>1889</v>
      </c>
    </row>
    <row r="27" spans="2:7" x14ac:dyDescent="0.2">
      <c r="B27" s="41" t="s">
        <v>1890</v>
      </c>
      <c r="C27" s="36"/>
      <c r="D27" s="36"/>
      <c r="E27" s="36"/>
      <c r="F27" s="36"/>
      <c r="G27" s="36"/>
    </row>
    <row r="28" spans="2:7" ht="28" x14ac:dyDescent="0.2">
      <c r="B28" s="10" t="s">
        <v>1891</v>
      </c>
      <c r="C28" s="10" t="s">
        <v>1892</v>
      </c>
      <c r="D28" s="10"/>
      <c r="E28" s="10" t="s">
        <v>1893</v>
      </c>
      <c r="F28" s="10" t="s">
        <v>1894</v>
      </c>
      <c r="G28" s="10"/>
    </row>
    <row r="29" spans="2:7" ht="54" customHeight="1" x14ac:dyDescent="0.2">
      <c r="B29" s="34" t="s">
        <v>1895</v>
      </c>
      <c r="C29" s="39" t="s">
        <v>1896</v>
      </c>
      <c r="D29" s="40"/>
      <c r="E29" s="31" t="s">
        <v>1897</v>
      </c>
      <c r="F29" s="39" t="s">
        <v>1898</v>
      </c>
      <c r="G29" s="40"/>
    </row>
    <row r="30" spans="2:7" ht="54" customHeight="1" x14ac:dyDescent="0.2">
      <c r="B30" s="34" t="s">
        <v>1899</v>
      </c>
      <c r="C30" s="39" t="s">
        <v>1900</v>
      </c>
      <c r="D30" s="40"/>
      <c r="E30" s="31" t="s">
        <v>1901</v>
      </c>
      <c r="F30" s="39" t="s">
        <v>1902</v>
      </c>
      <c r="G30" s="40"/>
    </row>
    <row r="31" spans="2:7" ht="54" customHeight="1" x14ac:dyDescent="0.2">
      <c r="B31" s="34" t="s">
        <v>1903</v>
      </c>
      <c r="C31" s="39" t="s">
        <v>1904</v>
      </c>
      <c r="D31" s="40"/>
      <c r="E31" s="31" t="s">
        <v>1905</v>
      </c>
      <c r="F31" s="39" t="s">
        <v>1906</v>
      </c>
      <c r="G31" s="40"/>
    </row>
    <row r="32" spans="2:7" ht="54" customHeight="1" x14ac:dyDescent="0.2">
      <c r="B32" s="34" t="s">
        <v>1907</v>
      </c>
      <c r="C32" s="39" t="s">
        <v>1908</v>
      </c>
      <c r="D32" s="40"/>
      <c r="E32" s="31" t="s">
        <v>1909</v>
      </c>
      <c r="F32" s="39" t="s">
        <v>1910</v>
      </c>
      <c r="G32" s="40"/>
    </row>
    <row r="34" spans="2:2" ht="143" x14ac:dyDescent="0.2">
      <c r="B34" s="13" t="s">
        <v>1911</v>
      </c>
    </row>
  </sheetData>
  <mergeCells count="11">
    <mergeCell ref="B7:G7"/>
    <mergeCell ref="B17:G17"/>
    <mergeCell ref="B27:G27"/>
    <mergeCell ref="F31:G31"/>
    <mergeCell ref="F32:G32"/>
    <mergeCell ref="C31:D31"/>
    <mergeCell ref="C29:D29"/>
    <mergeCell ref="C30:D30"/>
    <mergeCell ref="F30:G30"/>
    <mergeCell ref="F29:G29"/>
    <mergeCell ref="C32:D32"/>
  </mergeCells>
  <pageMargins left="0.75" right="0.75" top="1" bottom="1" header="0.5" footer="0.5"/>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14</vt:i4>
      </vt:variant>
      <vt:variant>
        <vt:lpstr>Named Ranges</vt:lpstr>
      </vt:variant>
      <vt:variant>
        <vt:i4>1</vt:i4>
      </vt:variant>
    </vt:vector>
  </HeadingPairs>
  <TitlesOfParts>
    <vt:vector size="15" baseType="lpstr">
      <vt:lpstr>README</vt:lpstr>
      <vt:lpstr>Master Data</vt:lpstr>
      <vt:lpstr>01 Country Attractiveness</vt:lpstr>
      <vt:lpstr>02 Access Pathways</vt:lpstr>
      <vt:lpstr>03 Severity &amp; WTP (Sweden)</vt:lpstr>
      <vt:lpstr>04 Technology &amp; Modality</vt:lpstr>
      <vt:lpstr>05 Company Analysis</vt:lpstr>
      <vt:lpstr>06 Evidence Analysis</vt:lpstr>
      <vt:lpstr>07 Reasons for Decline</vt:lpstr>
      <vt:lpstr>08 Comparator Analysis</vt:lpstr>
      <vt:lpstr>09 Time to Access</vt:lpstr>
      <vt:lpstr>Statistical Notes</vt:lpstr>
      <vt:lpstr>10 Presentation Brief</vt:lpstr>
      <vt:lpstr>10.1 PPT Data Pack</vt:lpstr>
      <vt:lpstr>'10.1 PPT Data Pack'!Print_Area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Margarida Bettencourt</cp:lastModifiedBy>
  <dcterms:created xsi:type="dcterms:W3CDTF">2026-06-23T09:13:02Z</dcterms:created>
  <dcterms:modified xsi:type="dcterms:W3CDTF">2026-06-24T09:31:37Z</dcterms:modified>
</cp:coreProperties>
</file>